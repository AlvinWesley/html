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comments1.xml" ContentType="application/vnd.openxmlformats-officedocument.spreadsheetml.comments+xml"/>
  <Default Extension="vml" ContentType="application/vnd.openxmlformats-officedocument.vmlDrawing"/>
  <Override PartName="/xl/comments2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Breilerk\Desktop\FidelHighSeason2024\syedAli\bussinessMS-Office\excel\wk3\"/>
    </mc:Choice>
  </mc:AlternateContent>
  <xr:revisionPtr revIDLastSave="0" documentId="13_ncr:1_{ADD81F2E-3BF3-4132-9C77-D6FAD143808A}" xr6:coauthVersionLast="47" xr6:coauthVersionMax="47" xr10:uidLastSave="{00000000-0000-0000-0000-000000000000}"/>
  <bookViews>
    <workbookView xWindow="-120" yWindow="-120" windowWidth="20730" windowHeight="11160" firstSheet="2" activeTab="0" xr2:uid="{00000000-000D-0000-FFFF-FFFF00000000}"/>
  </bookViews>
  <sheets>
    <sheet name="Graded Summary Report" sheetId="17" r:id="rId17"/>
    <sheet name="Documentation" sheetId="1" r:id="rId1"/>
    <sheet name="Startup" sheetId="2" r:id="rId2"/>
    <sheet name="Income Statement" sheetId="12" r:id="rId3"/>
    <sheet name="Balance Sheet" sheetId="14" r:id="rId4"/>
    <sheet name="Cash Flow" sheetId="16" r:id="rId5"/>
    <sheet name="Loan Analysis" sheetId="6" r:id="rId6"/>
    <sheet name="Loan Schedule" sheetId="7" r:id="rId7"/>
    <sheet name="Depreciation" sheetId="8" r:id="rId8"/>
    <sheet name="Investment Analysis" sheetId="15" r:id="rId9"/>
    <sheet name="Terms and Defintions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14" l="1"/>
  <c r="C13" i="15"/>
  <c r="B13" i="15"/>
  <c r="C10" i="15"/>
  <c r="B5" i="15"/>
  <c r="C31" i="12"/>
  <c r="D31" i="12"/>
  <c r="E31" i="12"/>
  <c r="F31" i="12"/>
  <c r="C32" i="12"/>
  <c r="C34" i="12" s="1"/>
  <c r="D32" i="12"/>
  <c r="D34" i="12" s="1"/>
  <c r="E32" i="12"/>
  <c r="F32" i="12"/>
  <c r="F34" i="12" s="1"/>
  <c r="B31" i="12"/>
  <c r="B32" i="12" s="1"/>
  <c r="C28" i="12"/>
  <c r="D28" i="12"/>
  <c r="E28" i="12"/>
  <c r="F28" i="12"/>
  <c r="C29" i="12"/>
  <c r="D29" i="12"/>
  <c r="E29" i="12"/>
  <c r="F29" i="12"/>
  <c r="B29" i="12"/>
  <c r="B28" i="12"/>
  <c r="C26" i="12"/>
  <c r="D26" i="12"/>
  <c r="E26" i="12"/>
  <c r="F26" i="12"/>
  <c r="B26" i="12"/>
  <c r="C25" i="12"/>
  <c r="D25" i="12"/>
  <c r="E25" i="12"/>
  <c r="F25" i="12"/>
  <c r="B25" i="12"/>
  <c r="B17" i="8"/>
  <c r="B18" i="8" s="1"/>
  <c r="C16" i="8"/>
  <c r="D16" i="8"/>
  <c r="E16" i="8"/>
  <c r="F16" i="8"/>
  <c r="B16" i="8"/>
  <c r="C12" i="8"/>
  <c r="D12" i="8"/>
  <c r="E12" i="8"/>
  <c r="F12" i="8"/>
  <c r="B12" i="8"/>
  <c r="D11" i="8"/>
  <c r="E11" i="8" s="1"/>
  <c r="F11" i="8" s="1"/>
  <c r="C11" i="8"/>
  <c r="B11" i="8"/>
  <c r="C10" i="8"/>
  <c r="D10" i="8"/>
  <c r="E10" i="8"/>
  <c r="F10" i="8"/>
  <c r="B4" i="8"/>
  <c r="B10" i="8" s="1"/>
  <c r="C24" i="12"/>
  <c r="D24" i="12"/>
  <c r="E24" i="12"/>
  <c r="F24" i="12"/>
  <c r="B24" i="12"/>
  <c r="C21" i="12"/>
  <c r="D21" i="12"/>
  <c r="E21" i="12"/>
  <c r="F21" i="12"/>
  <c r="B21" i="12"/>
  <c r="C10" i="12"/>
  <c r="D10" i="12"/>
  <c r="E10" i="12"/>
  <c r="F10" i="12"/>
  <c r="C11" i="12"/>
  <c r="D11" i="12"/>
  <c r="E11" i="12"/>
  <c r="F11" i="12"/>
  <c r="C12" i="12"/>
  <c r="D12" i="12"/>
  <c r="E12" i="12"/>
  <c r="F12" i="12"/>
  <c r="B12" i="12"/>
  <c r="B11" i="12"/>
  <c r="B10" i="12"/>
  <c r="D38" i="7"/>
  <c r="E38" i="7" s="1"/>
  <c r="F38" i="7" s="1"/>
  <c r="C38" i="7"/>
  <c r="B38" i="7"/>
  <c r="G36" i="7"/>
  <c r="G37" i="7"/>
  <c r="F37" i="7"/>
  <c r="E37" i="7"/>
  <c r="D37" i="7"/>
  <c r="C37" i="7"/>
  <c r="F36" i="7"/>
  <c r="E36" i="7"/>
  <c r="D36" i="7"/>
  <c r="C36" i="7"/>
  <c r="B36" i="7"/>
  <c r="B37" i="7"/>
  <c r="C29" i="7"/>
  <c r="E28" i="7"/>
  <c r="D28" i="7"/>
  <c r="F28" i="7" s="1"/>
  <c r="E27" i="7"/>
  <c r="D27" i="7"/>
  <c r="F27" i="7" s="1"/>
  <c r="E26" i="7"/>
  <c r="D26" i="7"/>
  <c r="F26" i="7" s="1"/>
  <c r="E25" i="7"/>
  <c r="D25" i="7"/>
  <c r="F25" i="7" s="1"/>
  <c r="E24" i="7"/>
  <c r="D24" i="7"/>
  <c r="F24" i="7" s="1"/>
  <c r="E23" i="7"/>
  <c r="D23" i="7"/>
  <c r="F23" i="7" s="1"/>
  <c r="E22" i="7"/>
  <c r="D22" i="7"/>
  <c r="F22" i="7" s="1"/>
  <c r="E21" i="7"/>
  <c r="D21" i="7"/>
  <c r="F21" i="7" s="1"/>
  <c r="E20" i="7"/>
  <c r="D20" i="7"/>
  <c r="F20" i="7" s="1"/>
  <c r="E19" i="7"/>
  <c r="D19" i="7"/>
  <c r="F19" i="7" s="1"/>
  <c r="E18" i="7"/>
  <c r="D18" i="7"/>
  <c r="F18" i="7" s="1"/>
  <c r="E17" i="7"/>
  <c r="D17" i="7"/>
  <c r="F17" i="7" s="1"/>
  <c r="E16" i="7"/>
  <c r="D16" i="7"/>
  <c r="F16" i="7" s="1"/>
  <c r="E15" i="7"/>
  <c r="D15" i="7"/>
  <c r="F15" i="7" s="1"/>
  <c r="E14" i="7"/>
  <c r="D14" i="7"/>
  <c r="F14" i="7" s="1"/>
  <c r="E13" i="7"/>
  <c r="D13" i="7"/>
  <c r="F13" i="7" s="1"/>
  <c r="E12" i="7"/>
  <c r="D12" i="7"/>
  <c r="F12" i="7" s="1"/>
  <c r="E11" i="7"/>
  <c r="D11" i="7"/>
  <c r="F11" i="7" s="1"/>
  <c r="C11" i="7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E10" i="7"/>
  <c r="F10" i="7" s="1"/>
  <c r="D10" i="7"/>
  <c r="C10" i="7"/>
  <c r="F9" i="7"/>
  <c r="E9" i="7"/>
  <c r="D9" i="7"/>
  <c r="C9" i="7"/>
  <c r="G5" i="7"/>
  <c r="F5" i="7"/>
  <c r="D5" i="7"/>
  <c r="A5" i="7"/>
  <c r="B10" i="6"/>
  <c r="G10" i="6"/>
  <c r="H10" i="6" s="1"/>
  <c r="F10" i="6"/>
  <c r="D9" i="6"/>
  <c r="F9" i="6"/>
  <c r="G9" i="6"/>
  <c r="H9" i="6"/>
  <c r="C8" i="6"/>
  <c r="F8" i="6"/>
  <c r="G8" i="6"/>
  <c r="H8" i="6"/>
  <c r="I7" i="6"/>
  <c r="H7" i="6"/>
  <c r="G7" i="6"/>
  <c r="F7" i="6"/>
  <c r="B4" i="1"/>
  <c r="E34" i="12" l="1"/>
  <c r="E15" i="16" s="1"/>
  <c r="D36" i="12"/>
  <c r="B34" i="12"/>
  <c r="C36" i="12"/>
  <c r="F36" i="12"/>
  <c r="C17" i="8"/>
  <c r="F18" i="16"/>
  <c r="E18" i="16"/>
  <c r="D18" i="16"/>
  <c r="C18" i="16"/>
  <c r="B18" i="16"/>
  <c r="F17" i="16"/>
  <c r="E17" i="16"/>
  <c r="D17" i="16"/>
  <c r="C17" i="16"/>
  <c r="B17" i="16"/>
  <c r="F16" i="16"/>
  <c r="E16" i="16"/>
  <c r="D16" i="16"/>
  <c r="C16" i="16"/>
  <c r="B16" i="16"/>
  <c r="F15" i="16"/>
  <c r="D15" i="16"/>
  <c r="C15" i="16"/>
  <c r="B15" i="16"/>
  <c r="B19" i="16" s="1"/>
  <c r="F8" i="16"/>
  <c r="E8" i="16"/>
  <c r="D8" i="16"/>
  <c r="D12" i="16" s="1"/>
  <c r="C8" i="16"/>
  <c r="B8" i="16"/>
  <c r="F7" i="16"/>
  <c r="E7" i="16"/>
  <c r="D7" i="16"/>
  <c r="C7" i="16"/>
  <c r="B7" i="16"/>
  <c r="B12" i="16" s="1"/>
  <c r="F29" i="14"/>
  <c r="E29" i="14"/>
  <c r="D29" i="14"/>
  <c r="C29" i="14"/>
  <c r="B29" i="14"/>
  <c r="E25" i="14"/>
  <c r="D25" i="14"/>
  <c r="C25" i="14"/>
  <c r="B25" i="14"/>
  <c r="C15" i="14"/>
  <c r="B15" i="14"/>
  <c r="F14" i="14"/>
  <c r="E14" i="14"/>
  <c r="D14" i="14"/>
  <c r="C14" i="14"/>
  <c r="B14" i="14"/>
  <c r="F13" i="14"/>
  <c r="E13" i="14"/>
  <c r="D13" i="14"/>
  <c r="C13" i="14"/>
  <c r="B13" i="14"/>
  <c r="F12" i="14"/>
  <c r="E12" i="14"/>
  <c r="D12" i="14"/>
  <c r="C12" i="14"/>
  <c r="B12" i="14"/>
  <c r="B16" i="14" s="1"/>
  <c r="F12" i="16"/>
  <c r="C12" i="16"/>
  <c r="B33" i="2"/>
  <c r="B36" i="2" s="1"/>
  <c r="B28" i="2"/>
  <c r="B19" i="2"/>
  <c r="B18" i="2"/>
  <c r="B14" i="2"/>
  <c r="B8" i="2"/>
  <c r="E36" i="12" l="1"/>
  <c r="B14" i="15" a="1"/>
  <c r="B14" i="15" s="1"/>
  <c r="C18" i="15" s="1"/>
  <c r="C17" i="15"/>
  <c r="C14" i="15"/>
  <c r="C21" i="15"/>
  <c r="C22" i="15" s="1"/>
  <c r="C23" i="15"/>
  <c r="C15" i="15"/>
  <c r="B36" i="12"/>
  <c r="B30" i="14" s="1"/>
  <c r="C30" i="14" s="1"/>
  <c r="D30" i="14" s="1"/>
  <c r="E30" i="14" s="1"/>
  <c r="F30" i="14" s="1"/>
  <c r="F31" i="14" s="1"/>
  <c r="F33" i="14" s="1"/>
  <c r="F19" i="16"/>
  <c r="F21" i="16" s="1"/>
  <c r="E19" i="16"/>
  <c r="E21" i="16" s="1"/>
  <c r="E28" i="14"/>
  <c r="F28" i="14"/>
  <c r="C28" i="14"/>
  <c r="B28" i="14"/>
  <c r="D28" i="14"/>
  <c r="D19" i="16"/>
  <c r="D21" i="16" s="1"/>
  <c r="E12" i="16"/>
  <c r="C18" i="8"/>
  <c r="D17" i="8"/>
  <c r="C16" i="14"/>
  <c r="C19" i="16"/>
  <c r="C21" i="16" s="1"/>
  <c r="B21" i="16"/>
  <c r="B41" i="2"/>
  <c r="B15" i="2"/>
  <c r="B37" i="2"/>
  <c r="C16" i="15" l="1"/>
  <c r="B31" i="14"/>
  <c r="B33" i="14" s="1"/>
  <c r="C31" i="14"/>
  <c r="C33" i="14" s="1"/>
  <c r="D18" i="8"/>
  <c r="E17" i="8"/>
  <c r="D15" i="14"/>
  <c r="D16" i="14" s="1"/>
  <c r="D31" i="14"/>
  <c r="D33" i="14" s="1"/>
  <c r="E31" i="14"/>
  <c r="E33" i="14" s="1"/>
  <c r="B38" i="2"/>
  <c r="E18" i="8" l="1"/>
  <c r="F17" i="8"/>
  <c r="E15" i="14"/>
  <c r="E16" i="14" s="1"/>
  <c r="B39" i="2"/>
  <c r="F18" i="8" l="1"/>
  <c r="F15" i="14"/>
  <c r="F16" i="14" s="1"/>
  <c r="B22" i="2"/>
  <c r="B20" i="2" l="1"/>
  <c r="B21" i="2" l="1"/>
  <c r="B4" i="16" s="1"/>
  <c r="B22" i="16" s="1"/>
  <c r="B6" i="14" l="1"/>
  <c r="B9" i="14" s="1"/>
  <c r="B18" i="14" s="1"/>
  <c r="B35" i="14" s="1"/>
  <c r="C22" i="16"/>
  <c r="C6" i="14" l="1"/>
  <c r="C9" i="14" s="1"/>
  <c r="C18" i="14" s="1"/>
  <c r="C35" i="14" s="1"/>
  <c r="D22" i="16"/>
  <c r="E22" i="16" l="1"/>
  <c r="D6" i="14"/>
  <c r="D9" i="14" s="1"/>
  <c r="D18" i="14" s="1"/>
  <c r="D35" i="14" s="1"/>
  <c r="F22" i="16" l="1"/>
  <c r="F6" i="14" s="1"/>
  <c r="F9" i="14" s="1"/>
  <c r="F18" i="14" s="1"/>
  <c r="F35" i="14" s="1"/>
  <c r="E6" i="14"/>
  <c r="E9" i="14" s="1"/>
  <c r="E18" i="14" s="1"/>
  <c r="E35" i="14" s="1"/>
</calcChain>
</file>

<file path=xl/comments1.xml><?xml version="1.0" encoding="utf-8"?>
<comments xmlns="http://schemas.openxmlformats.org/spreadsheetml/2006/main">
  <authors>
    <author>Grading Engine</author>
  </authors>
  <commentList>
    <comment ref="G9" authorId="0">
      <text>
        <r>
          <rPr>
            <b/>
            <sz val="9"/>
            <color indexed="81"/>
            <rFont val="Tahoma"/>
            <charset val="1"/>
          </rPr>
          <t>Grading Error:</t>
        </r>
        <r>
          <rPr>
            <sz val="9"/>
            <color indexed="81"/>
            <rFont val="Tahoma"/>
            <charset val="1"/>
          </rPr>
          <t xml:space="preserve">
Step 2: In the Loan Analysis worksheet, one or more cells in the range G9:I9 contains incorrect values.</t>
        </r>
      </text>
    </comment>
    <comment ref="H9" authorId="0">
      <text>
        <r>
          <rPr>
            <b/>
            <sz val="9"/>
            <color indexed="81"/>
            <rFont val="Tahoma"/>
            <charset val="1"/>
          </rPr>
          <t>Grading Error:</t>
        </r>
        <r>
          <rPr>
            <sz val="9"/>
            <color indexed="81"/>
            <rFont val="Tahoma"/>
            <charset val="1"/>
          </rPr>
          <t xml:space="preserve">
Step 2: In the Loan Analysis worksheet, one or more cells in the range G9:I9 contains incorrect values.</t>
        </r>
      </text>
    </comment>
    <comment ref="I9" authorId="0">
      <text>
        <r>
          <rPr>
            <b/>
            <sz val="9"/>
            <color indexed="81"/>
            <rFont val="Tahoma"/>
            <charset val="1"/>
          </rPr>
          <t>Grading Error:</t>
        </r>
        <r>
          <rPr>
            <sz val="9"/>
            <color indexed="81"/>
            <rFont val="Tahoma"/>
            <charset val="1"/>
          </rPr>
          <t xml:space="preserve">
Step 2: In the Loan Analysis worksheet, one or more cells in the range G9:I9 contains incorrect values.</t>
        </r>
      </text>
    </comment>
  </commentList>
</comments>
</file>

<file path=xl/comments2.xml><?xml version="1.0" encoding="utf-8"?>
<comments xmlns="http://schemas.openxmlformats.org/spreadsheetml/2006/main">
  <authors>
    <author>Grading Engine</author>
  </authors>
  <commentList>
    <comment ref="B8" authorId="0">
      <text>
        <r>
          <rPr>
            <b/>
            <sz val="9"/>
            <color indexed="81"/>
            <rFont val="Tahoma"/>
            <charset val="1"/>
          </rPr>
          <t>Grading Error:</t>
        </r>
        <r>
          <rPr>
            <sz val="9"/>
            <color indexed="81"/>
            <rFont val="Tahoma"/>
            <charset val="1"/>
          </rPr>
          <t xml:space="preserve">
Step 7: In the Investment Analysis worksheet, the formula in cell B8 should be RATE(B7, B6, B5).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<sst xmlns="http://schemas.openxmlformats.org/spreadsheetml/2006/main" count="375" uniqueCount="280">
  <si>
    <t>Author</t>
  </si>
  <si>
    <t>Date</t>
  </si>
  <si>
    <t>Purpose</t>
  </si>
  <si>
    <t>Required Expenses</t>
  </si>
  <si>
    <t>Total Required Expenses</t>
  </si>
  <si>
    <t>Required Assets</t>
  </si>
  <si>
    <t>Cash</t>
  </si>
  <si>
    <t>Property</t>
  </si>
  <si>
    <t>Miscellaneous Assets</t>
  </si>
  <si>
    <t>Long-Term Assets</t>
  </si>
  <si>
    <t xml:space="preserve">Total Required Assets </t>
  </si>
  <si>
    <t>TOTAL REQUIRED EXPENSES AND ASSETS</t>
  </si>
  <si>
    <t>Start-Up Assets</t>
  </si>
  <si>
    <t>Non-Cash Assets</t>
  </si>
  <si>
    <t>Cash Assets</t>
  </si>
  <si>
    <t>Additional Available Cash</t>
  </si>
  <si>
    <t>Cash Balance on Starting Date</t>
  </si>
  <si>
    <t>TOTAL START-UP ASSETS</t>
  </si>
  <si>
    <t>Liabilities and Capital</t>
  </si>
  <si>
    <t>Start-Up Liabilities</t>
  </si>
  <si>
    <t>Long-Term Business Loan</t>
  </si>
  <si>
    <t>Outstanding Debts</t>
  </si>
  <si>
    <t>Total Liabilities</t>
  </si>
  <si>
    <t>Start-Up Capital</t>
  </si>
  <si>
    <t>Owners</t>
  </si>
  <si>
    <t>Investors</t>
  </si>
  <si>
    <t>Total Available Capital</t>
  </si>
  <si>
    <t>Project Summary</t>
  </si>
  <si>
    <t>START-UP INVESTMENT</t>
  </si>
  <si>
    <t>START-UP EXPENSES</t>
  </si>
  <si>
    <t>INITIAL EQUITY</t>
  </si>
  <si>
    <t>TOTAL LIABILITIES AND EQUITY</t>
  </si>
  <si>
    <t>TOTAL FUNDING</t>
  </si>
  <si>
    <t>Pro Forma Income Statement</t>
  </si>
  <si>
    <t>Income</t>
  </si>
  <si>
    <t>Year 1</t>
  </si>
  <si>
    <t>Year 2</t>
  </si>
  <si>
    <t>Year 3</t>
  </si>
  <si>
    <t>Year 4</t>
  </si>
  <si>
    <t>Year 5</t>
  </si>
  <si>
    <t>GROSS PROFIT</t>
  </si>
  <si>
    <t>Expenses</t>
  </si>
  <si>
    <t>Payroll</t>
  </si>
  <si>
    <t>Utilities</t>
  </si>
  <si>
    <t>Occupancy Costs</t>
  </si>
  <si>
    <t>Insurance</t>
  </si>
  <si>
    <t>TOTAL GENERAL EXPENSES</t>
  </si>
  <si>
    <t>Earnings</t>
  </si>
  <si>
    <t>Initial Earnings</t>
  </si>
  <si>
    <t>Depreciation</t>
  </si>
  <si>
    <t>Operating Profit</t>
  </si>
  <si>
    <t>Interest Expense</t>
  </si>
  <si>
    <t>Pretax Profit</t>
  </si>
  <si>
    <t>Taxes Liability</t>
  </si>
  <si>
    <t>After-Tax Profit</t>
  </si>
  <si>
    <t>Retained Earnings</t>
  </si>
  <si>
    <t>Pro Forma Balance Sheet</t>
  </si>
  <si>
    <t>Assets</t>
  </si>
  <si>
    <t>Current Assets</t>
  </si>
  <si>
    <t>Accounts Receivable</t>
  </si>
  <si>
    <t>Inventory</t>
  </si>
  <si>
    <t>Total Current Assets</t>
  </si>
  <si>
    <t>Property and Equipment</t>
  </si>
  <si>
    <t>Less Accumulated Depreciation</t>
  </si>
  <si>
    <t>Net Property &amp; Equipment</t>
  </si>
  <si>
    <t>TOTAL ASSETS</t>
  </si>
  <si>
    <t>Liabilities and Equity</t>
  </si>
  <si>
    <t>Current Liabilities</t>
  </si>
  <si>
    <t>Total Current Liabilities</t>
  </si>
  <si>
    <t>Long-Term Liabilities</t>
  </si>
  <si>
    <t>Total Long-Term Liabilities</t>
  </si>
  <si>
    <t>Equity</t>
  </si>
  <si>
    <t>Initial Investment</t>
  </si>
  <si>
    <t>Less Start-Up Expenses</t>
  </si>
  <si>
    <t>Accumulated Retained Earnings</t>
  </si>
  <si>
    <t>Total Equity</t>
  </si>
  <si>
    <t>TOTAL LIABILITIES  AND EQUITY</t>
  </si>
  <si>
    <t>NET WORTH</t>
  </si>
  <si>
    <t>Pro Forma Cash Flow</t>
  </si>
  <si>
    <t>Cash Inflows</t>
  </si>
  <si>
    <t>Depreciation Add-Back</t>
  </si>
  <si>
    <t xml:space="preserve">Additional Cash Received </t>
  </si>
  <si>
    <t>New Borrowing</t>
  </si>
  <si>
    <t>Sales of Other Current Assets</t>
  </si>
  <si>
    <t>TOTAL CASH INFLOW</t>
  </si>
  <si>
    <t>Cash Outflows</t>
  </si>
  <si>
    <t>Estimated Tax</t>
  </si>
  <si>
    <t>Interest Payments</t>
  </si>
  <si>
    <t>Debt Payment</t>
  </si>
  <si>
    <t>TOTAL CASH OUTFLOW</t>
  </si>
  <si>
    <t>NET CASH FLOW</t>
  </si>
  <si>
    <t>CASH BALANCE</t>
  </si>
  <si>
    <t>Loan Analysis</t>
  </si>
  <si>
    <t>Annual Interest Rate</t>
  </si>
  <si>
    <t>Financial Value</t>
  </si>
  <si>
    <t>Business Loan 
(PV)</t>
  </si>
  <si>
    <t>Future Value
(FV)</t>
  </si>
  <si>
    <t>Years</t>
  </si>
  <si>
    <t>Payments per Year</t>
  </si>
  <si>
    <t>Payments
(NPER)</t>
  </si>
  <si>
    <t>Annual Rate</t>
  </si>
  <si>
    <t>Quarterly Payment (PMT)</t>
  </si>
  <si>
    <t>Future Value (FV)</t>
  </si>
  <si>
    <t>Payments (NPER)</t>
  </si>
  <si>
    <t>Business Loan (PV)</t>
  </si>
  <si>
    <t>Loan Schedule</t>
  </si>
  <si>
    <t>Loan (PV)</t>
  </si>
  <si>
    <t>Annual  Rate</t>
  </si>
  <si>
    <t>Rate per Period (RATE)</t>
  </si>
  <si>
    <t>Payment
(PMT)</t>
  </si>
  <si>
    <t>Amortization Schedule</t>
  </si>
  <si>
    <t>Year</t>
  </si>
  <si>
    <t>Period</t>
  </si>
  <si>
    <t>Remaining 
Principal</t>
  </si>
  <si>
    <t>Interest 
Payment</t>
  </si>
  <si>
    <t>Principal 
Payment</t>
  </si>
  <si>
    <t>Total Payment</t>
  </si>
  <si>
    <t>Final Balance</t>
  </si>
  <si>
    <t>Cumulative Interest and Principal Payments per Year</t>
  </si>
  <si>
    <t>Quarters</t>
  </si>
  <si>
    <t>Total</t>
  </si>
  <si>
    <t>Interest</t>
  </si>
  <si>
    <t>Principal</t>
  </si>
  <si>
    <t>Principal Remaining</t>
  </si>
  <si>
    <t>Salvage Value (Salvage)</t>
  </si>
  <si>
    <t>Life of Asset (Life)</t>
  </si>
  <si>
    <t>Straight-Line (SLN)</t>
  </si>
  <si>
    <t>Yearly Depreciation</t>
  </si>
  <si>
    <t>Cumulative Depreciation</t>
  </si>
  <si>
    <t>Depreciated Asset Value</t>
  </si>
  <si>
    <t>Declining Balance (DB)</t>
  </si>
  <si>
    <t>Investment Analysis</t>
  </si>
  <si>
    <t>Investment (PV)</t>
  </si>
  <si>
    <t>Payments</t>
  </si>
  <si>
    <t>Net Cash Flow</t>
  </si>
  <si>
    <t>Desired Rate of Return</t>
  </si>
  <si>
    <t>Present Value (NPV)</t>
  </si>
  <si>
    <t>Net Present Value</t>
  </si>
  <si>
    <t>Internal Rate of Return (IRR)</t>
  </si>
  <si>
    <t>Plant Construction</t>
  </si>
  <si>
    <t>Plant Equipment</t>
  </si>
  <si>
    <t>Tech Innovations Startup Grant</t>
  </si>
  <si>
    <t>Sales</t>
  </si>
  <si>
    <t>Cost of Sales &amp; Marketing</t>
  </si>
  <si>
    <t>Cost of Research and Development</t>
  </si>
  <si>
    <t>Percent Cost of Sales &amp; Marketing</t>
  </si>
  <si>
    <t>Percent Cost of Research and Development</t>
  </si>
  <si>
    <t>Licensing</t>
  </si>
  <si>
    <t>Licensing Fees</t>
  </si>
  <si>
    <t>Other Required Expenses</t>
  </si>
  <si>
    <t>Miscellaneous Expenses</t>
  </si>
  <si>
    <t>Long-Term Assets (Cost)</t>
  </si>
  <si>
    <t>Terms and Definitions</t>
  </si>
  <si>
    <t>Term</t>
  </si>
  <si>
    <t>Definition</t>
  </si>
  <si>
    <t>Cash flow</t>
  </si>
  <si>
    <t>Present value</t>
  </si>
  <si>
    <t>Future value</t>
  </si>
  <si>
    <t>Gross profit</t>
  </si>
  <si>
    <t>Extrapolation</t>
  </si>
  <si>
    <t>Interpolation</t>
  </si>
  <si>
    <t>Tangible assets</t>
  </si>
  <si>
    <t>Straight-line depreciation</t>
  </si>
  <si>
    <t>Declining balance depreciation</t>
  </si>
  <si>
    <t>Negative cash flow</t>
  </si>
  <si>
    <t>Positive cash flow</t>
  </si>
  <si>
    <t>Cost of sales</t>
  </si>
  <si>
    <t>Linear trend</t>
  </si>
  <si>
    <t>Growth trend</t>
  </si>
  <si>
    <t>Payback period</t>
  </si>
  <si>
    <t>Rate of return</t>
  </si>
  <si>
    <t>Net present value</t>
  </si>
  <si>
    <t>Internal rate of return</t>
  </si>
  <si>
    <t>Notes</t>
  </si>
  <si>
    <t>The direction in which money flows either to or from the user</t>
  </si>
  <si>
    <t>Money that is flowing towards the user</t>
  </si>
  <si>
    <t>Money that is flowing from the user</t>
  </si>
  <si>
    <t>Excel returns negative cash flow values for loan payments</t>
  </si>
  <si>
    <t>Excel returns positive cash flow values for investments</t>
  </si>
  <si>
    <t>The current value of a loan or investment</t>
  </si>
  <si>
    <t>The future value of a loan or investment</t>
  </si>
  <si>
    <t>Use a future value of 0 for loans that will be completely repaid</t>
  </si>
  <si>
    <t>Rate per Period
(RATE)</t>
  </si>
  <si>
    <t>Periodic Payments
(PMT)</t>
  </si>
  <si>
    <t>Expenses which are directly related to production</t>
  </si>
  <si>
    <t>Noncash assets such as equipment, land, buildings, and vehicles</t>
  </si>
  <si>
    <t>The difference between the company's sales and the cost of goods sold</t>
  </si>
  <si>
    <t>A process by extending a series from a single value or a few values to project future values</t>
  </si>
  <si>
    <t>A process to fill in a series when given then starting and ending values of the series</t>
  </si>
  <si>
    <t>A trend by which values change by a constant amount</t>
  </si>
  <si>
    <t>A trend by which values change by a constant percentage</t>
  </si>
  <si>
    <t>The process of allocating the original cost of an asset over the lifetime of the asset</t>
  </si>
  <si>
    <t>Depreciation in which the asset drops in value by a constant amount</t>
  </si>
  <si>
    <t>Calculate using the SLN function</t>
  </si>
  <si>
    <t>Depreciation in which the asset drops in value by a constant percentage</t>
  </si>
  <si>
    <t>Calculate using the DB function</t>
  </si>
  <si>
    <t>The length of time before an investment recovers its initial cost</t>
  </si>
  <si>
    <t>An interest rate that compares of value of current dollars to future dollars from a series of cash flows</t>
  </si>
  <si>
    <t>The difference between the present value of an investment and the initial expenditure on that investment</t>
  </si>
  <si>
    <t>Calculate by adding the current expenditure to the value returned by the NPV function</t>
  </si>
  <si>
    <t>The return rate for a series of future cash flow that will will result in a net present value of 0</t>
  </si>
  <si>
    <t>Calculate using the IRR function</t>
  </si>
  <si>
    <t>Start-Up Financials</t>
  </si>
  <si>
    <t>Robuster</t>
  </si>
  <si>
    <t>To perform a financial analysis for the tech startup, Robuster in order to project future earnings and expenses</t>
  </si>
  <si>
    <t>Projected Tax Rate</t>
  </si>
  <si>
    <t>Investor Percent of Profits</t>
  </si>
  <si>
    <t>Payment to Investors</t>
  </si>
  <si>
    <t>Investors Repaid with Annual Payments</t>
  </si>
  <si>
    <t>Annual Payment (PMT)</t>
  </si>
  <si>
    <t>Years (NPER)</t>
  </si>
  <si>
    <t>Effective Interest Rate (RATE)</t>
  </si>
  <si>
    <t>Investors Repaid with a Percent of Profits</t>
  </si>
  <si>
    <t>Year 0</t>
  </si>
  <si>
    <t>Syed Ali</t>
  </si>
  <si>
    <t/>
  </si>
  <si>
    <t>SYED ALI</t>
  </si>
  <si>
    <t>New Perspectives Excel 365 | Module 9: Textbook Project</t>
  </si>
  <si>
    <r>
      <rPr>
        <sz val="11"/>
        <color rgb="FF4B4C4C"/>
        <rFont val="Century Gothic"/>
        <family val="2"/>
      </rPr>
      <t xml:space="preserve">SUBMISSION #1 | SCORE IS: </t>
    </r>
    <r>
      <rPr>
        <b/>
        <sz val="11"/>
        <color rgb="FF4B4C4C"/>
        <rFont val="Century Gothic"/>
        <family val="2"/>
      </rPr>
      <t>94</t>
    </r>
    <r>
      <rPr>
        <sz val="11"/>
        <color rgb="FF4B4C4C"/>
        <rFont val="Century Gothic"/>
        <family val="2"/>
      </rPr>
      <t xml:space="preserve"> OUT OF </t>
    </r>
    <r>
      <rPr>
        <b/>
        <sz val="11"/>
        <color rgb="FF4B4C4C"/>
        <rFont val="Century Gothic"/>
        <family val="2"/>
      </rPr>
      <t>100</t>
    </r>
  </si>
  <si>
    <t>GE ver. 17.5.0-rc0000</t>
  </si>
  <si>
    <t>1.</t>
  </si>
  <si>
    <t>Non-graded - Introducing Financial Functions</t>
  </si>
  <si>
    <t>2.</t>
  </si>
  <si>
    <r>
      <rPr>
        <sz val="11"/>
        <color rgb="FF000000"/>
        <rFont val="Century Gothic"/>
      </rPr>
      <t xml:space="preserve">Calculating the Cost of Borrowing</t>
    </r>
  </si>
  <si>
    <t>3/3</t>
  </si>
  <si>
    <t>To calculate a quarterly payment with the PMT function</t>
  </si>
  <si>
    <t>3/3</t>
  </si>
  <si>
    <t>To calculate the future value of the loan</t>
  </si>
  <si>
    <t>0/3</t>
  </si>
  <si>
    <t>To calculate the number of payments for the loan</t>
  </si>
  <si>
    <t>In the Loan Analysis worksheet, one or more cells in the range G9:I9 contains incorrect values.</t>
  </si>
  <si>
    <t>3/3</t>
  </si>
  <si>
    <t>To apply the PV function to calculate the loan size</t>
  </si>
  <si>
    <t>3/3</t>
  </si>
  <si>
    <t>To enter the loan amount</t>
  </si>
  <si>
    <t>3/3</t>
  </si>
  <si>
    <t>To calculate the size of the loan payments</t>
  </si>
  <si>
    <t>3.</t>
  </si>
  <si>
    <r>
      <rPr>
        <sz val="11"/>
        <color rgb="FF000000"/>
        <rFont val="Century Gothic"/>
      </rPr>
      <t xml:space="preserve">Creating an Amortization Schedule</t>
    </r>
  </si>
  <si>
    <t>3/3</t>
  </si>
  <si>
    <t>To create the amortization schedule for the company's loan.</t>
  </si>
  <si>
    <t>3/3</t>
  </si>
  <si>
    <t>To complete the amortization schedule</t>
  </si>
  <si>
    <t>3/3</t>
  </si>
  <si>
    <t>To calculate the cumulative interest and principal payments</t>
  </si>
  <si>
    <t>3/3</t>
  </si>
  <si>
    <t>To complete the cumulative payment table</t>
  </si>
  <si>
    <t>4.</t>
  </si>
  <si>
    <r>
      <rPr>
        <sz val="11"/>
        <color rgb="FF000000"/>
        <rFont val="Century Gothic"/>
      </rPr>
      <t xml:space="preserve">Projecting Future Income and Expenses</t>
    </r>
  </si>
  <si>
    <t>3/3</t>
  </si>
  <si>
    <t>To project future revenue based on a linear trend</t>
  </si>
  <si>
    <t>3/3</t>
  </si>
  <si>
    <t>To project future revenue assuming a growth trend</t>
  </si>
  <si>
    <t>3/3</t>
  </si>
  <si>
    <t>To project the cost of goods sold and the gross profit</t>
  </si>
  <si>
    <t>3/3</t>
  </si>
  <si>
    <t>To enter the Year 1 expenses</t>
  </si>
  <si>
    <t>3/3</t>
  </si>
  <si>
    <t>To extrapolate the Year 1 expenses</t>
  </si>
  <si>
    <t>3/3</t>
  </si>
  <si>
    <t>To calculate the company's initial earnings</t>
  </si>
  <si>
    <t>5.</t>
  </si>
  <si>
    <r>
      <rPr>
        <sz val="11"/>
        <color rgb="FF000000"/>
        <rFont val="Century Gothic"/>
      </rPr>
      <t xml:space="preserve">Calculating Depreciation of Assets</t>
    </r>
  </si>
  <si>
    <t>3/3</t>
  </si>
  <si>
    <t>To specify the values of the tangible assets</t>
  </si>
  <si>
    <t>3/3</t>
  </si>
  <si>
    <t>To calculate the straight-line depreciation</t>
  </si>
  <si>
    <t>3/3</t>
  </si>
  <si>
    <t>To calculate the declining balance depreciation</t>
  </si>
  <si>
    <t>3/3</t>
  </si>
  <si>
    <t>To add depreciation to the income statement</t>
  </si>
  <si>
    <t>6.</t>
  </si>
  <si>
    <r>
      <rPr>
        <sz val="11"/>
        <color rgb="FF000000"/>
        <rFont val="Century Gothic"/>
      </rPr>
      <t xml:space="preserve">Adding Taxes and Interest Expenses to an Income Statement</t>
    </r>
  </si>
  <si>
    <t>3/3</t>
  </si>
  <si>
    <t>To include the interest expense in the income statement</t>
  </si>
  <si>
    <t>3/3</t>
  </si>
  <si>
    <t>To calculate the company's tax liability</t>
  </si>
  <si>
    <t>7.</t>
  </si>
  <si>
    <r>
      <rPr>
        <sz val="11"/>
        <color rgb="FF000000"/>
        <rFont val="Century Gothic"/>
      </rPr>
      <t xml:space="preserve">Calculating Interest Rates with the RATE Function</t>
    </r>
  </si>
  <si>
    <t>0/3</t>
  </si>
  <si>
    <t>To calculate the interest rate of the investment</t>
  </si>
  <si>
    <t>In the Investment Analysis worksheet, the formula in cell B8 should be RATE(B7, B6, B5).</t>
  </si>
  <si>
    <t>3/3</t>
  </si>
  <si>
    <t>To calculate 33% of the profits for investors</t>
  </si>
  <si>
    <t>8.</t>
  </si>
  <si>
    <r>
      <rPr>
        <sz val="11"/>
        <color rgb="FF000000"/>
        <rFont val="Century Gothic"/>
      </rPr>
      <t xml:space="preserve">Viewing the Payback Period of an Investment</t>
    </r>
  </si>
  <si>
    <t>4/4</t>
  </si>
  <si>
    <t>To determine the payback period for the investment</t>
  </si>
  <si>
    <t>9.</t>
  </si>
  <si>
    <r>
      <rPr>
        <sz val="11"/>
        <color rgb="FF000000"/>
        <rFont val="Century Gothic"/>
      </rPr>
      <t xml:space="preserve">Calculating Net Present Value</t>
    </r>
  </si>
  <si>
    <t>4/4</t>
  </si>
  <si>
    <t>To calculate the present value of the investment</t>
  </si>
  <si>
    <t>4/4</t>
  </si>
  <si>
    <t>To view the impact of different rates of return</t>
  </si>
  <si>
    <t>10.</t>
  </si>
  <si>
    <r>
      <rPr>
        <sz val="11"/>
        <color rgb="FF000000"/>
        <rFont val="Century Gothic"/>
      </rPr>
      <t xml:space="preserve">Calculating the Internal Rate of Return</t>
    </r>
  </si>
  <si>
    <t>4/4</t>
  </si>
  <si>
    <t>To calculate the internal rate of return for the investment</t>
  </si>
  <si>
    <t>11.</t>
  </si>
  <si>
    <r>
      <rPr>
        <sz val="11"/>
        <color rgb="FF000000"/>
        <rFont val="Century Gothic"/>
      </rPr>
      <t xml:space="preserve">Auditing a Workbook</t>
    </r>
  </si>
  <si>
    <t>4/4</t>
  </si>
  <si>
    <t>To continue tracing the error to its source</t>
  </si>
  <si>
    <t>4/4</t>
  </si>
  <si>
    <t>To fix the error in the calculation</t>
  </si>
  <si>
    <t>12.</t>
  </si>
  <si>
    <r>
      <rPr>
        <sz val="11"/>
        <color rgb="FF000000"/>
        <rFont val="Century Gothic"/>
      </rPr>
      <t xml:space="preserve">Using the Watch Window</t>
    </r>
  </si>
  <si>
    <t>4/4</t>
  </si>
  <si>
    <t>Update a value in a cell.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</si>
</sst>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#,##0.00"/>
    <numFmt numFmtId="167" formatCode="0.0000"/>
    <numFmt numFmtId="168" formatCode="0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4"/>
      <name val="Bauhaus 93"/>
      <family val="5"/>
    </font>
    <font>
      <sz val="11"/>
      <color theme="4"/>
      <name val="Calibri"/>
      <family val="2"/>
      <scheme val="minor"/>
    </font>
    <font>
      <sz val="1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24"/>
      <color theme="9" tint="-0.249977111117893"/>
      <name val="Lucida Calligraphy"/>
      <family val="4"/>
    </font>
    <font>
      <sz val="11"/>
      <color theme="9" tint="-0.249977111117893"/>
      <name val="Calibri"/>
      <family val="2"/>
      <scheme val="minor"/>
    </font>
    <font>
      <sz val="18"/>
      <color theme="9" tint="-0.249977111117893"/>
      <name val="Calibri Light"/>
      <family val="2"/>
      <scheme val="major"/>
    </font>
    <font>
      <sz val="18"/>
      <color theme="4"/>
      <name val="Calibri Light"/>
      <family val="2"/>
      <scheme val="major"/>
    </font>
    <font>
      <b/>
      <sz val="13"/>
      <color theme="4"/>
      <name val="Calibri"/>
      <family val="2"/>
      <scheme val="minor"/>
    </font>
    <font>
      <sz val="14"/>
      <color theme="4"/>
      <name val="Calibri Light"/>
      <family val="2"/>
      <scheme val="major"/>
    </font>
    <font>
      <sz val="8"/>
      <name val="Calibri"/>
      <family val="2"/>
      <scheme val="minor"/>
    </font>
    <font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i/>
      <sz val="11"/>
      <color rgb="FF000000"/>
      <name val="Century Gothic"/>
      <family val="2"/>
    </font>
    <font>
      <sz val="28"/>
      <color rgb="FF292F7C"/>
      <name val="Century Gothic"/>
      <family val="2"/>
    </font>
    <font>
      <sz val="11"/>
      <color rgb="FF4B4C4C"/>
      <name val="Century Gothic"/>
      <family val="2"/>
    </font>
    <font>
      <sz val="8"/>
      <color rgb="FF000000"/>
      <name val="Century Gothic"/>
      <family val="2"/>
    </font>
    <font>
      <sz val="11"/>
      <color rgb="FFFF0000"/>
      <name val="Century Gothic"/>
      <family val="2"/>
    </font>
  </fonts>
  <fills count="1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3460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93A5B2"/>
      </bottom>
      <diagonal/>
    </border>
    <border>
      <left/>
      <right/>
      <top style="thick">
        <color rgb="FF93A5B2"/>
      </top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4" fillId="0" borderId="0" applyNumberFormat="0" applyFill="0" applyBorder="0" applyAlignment="0" applyProtection="0"/>
    <xf numFmtId="0" fontId="6" fillId="0" borderId="3" applyNumberFormat="0" applyFill="0" applyAlignment="0" applyProtection="0"/>
    <xf numFmtId="0" fontId="7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</cellStyleXfs>
  <cellXfs count="129">
    <xf numFmtId="0" fontId="0" fillId="0" borderId="0" xfId="0"/>
    <xf numFmtId="0" fontId="8" fillId="0" borderId="0" xfId="4" applyFont="1"/>
    <xf numFmtId="0" fontId="12" fillId="0" borderId="0" xfId="4" applyFont="1" applyFill="1" applyBorder="1" applyAlignment="1"/>
    <xf numFmtId="0" fontId="13" fillId="0" borderId="0" xfId="0" applyFont="1"/>
    <xf numFmtId="0" fontId="14" fillId="0" borderId="0" xfId="4" applyFont="1" applyFill="1" applyBorder="1" applyAlignment="1"/>
    <xf numFmtId="164" fontId="0" fillId="0" borderId="0" xfId="1" applyNumberFormat="1" applyFont="1" applyAlignment="1"/>
    <xf numFmtId="0" fontId="0" fillId="0" borderId="5" xfId="0" applyBorder="1"/>
    <xf numFmtId="164" fontId="0" fillId="0" borderId="5" xfId="1" applyNumberFormat="1" applyFont="1" applyBorder="1" applyAlignment="1"/>
    <xf numFmtId="0" fontId="0" fillId="5" borderId="5" xfId="0" applyFill="1" applyBorder="1"/>
    <xf numFmtId="165" fontId="0" fillId="5" borderId="5" xfId="1" applyNumberFormat="1" applyFont="1" applyFill="1" applyBorder="1" applyAlignment="1"/>
    <xf numFmtId="164" fontId="0" fillId="0" borderId="0" xfId="1" applyNumberFormat="1" applyFont="1" applyBorder="1" applyAlignment="1"/>
    <xf numFmtId="0" fontId="0" fillId="5" borderId="6" xfId="0" applyFill="1" applyBorder="1"/>
    <xf numFmtId="165" fontId="0" fillId="5" borderId="6" xfId="1" applyNumberFormat="1" applyFont="1" applyFill="1" applyBorder="1" applyAlignment="1"/>
    <xf numFmtId="0" fontId="0" fillId="6" borderId="0" xfId="0" applyFill="1"/>
    <xf numFmtId="165" fontId="0" fillId="6" borderId="0" xfId="0" applyNumberFormat="1" applyFill="1"/>
    <xf numFmtId="165" fontId="0" fillId="0" borderId="0" xfId="0" applyNumberFormat="1"/>
    <xf numFmtId="164" fontId="0" fillId="0" borderId="0" xfId="1" applyNumberFormat="1" applyFont="1" applyFill="1" applyAlignment="1"/>
    <xf numFmtId="164" fontId="0" fillId="0" borderId="5" xfId="1" applyNumberFormat="1" applyFont="1" applyFill="1" applyBorder="1" applyAlignment="1"/>
    <xf numFmtId="0" fontId="0" fillId="0" borderId="6" xfId="0" applyBorder="1"/>
    <xf numFmtId="164" fontId="0" fillId="0" borderId="6" xfId="1" applyNumberFormat="1" applyFont="1" applyFill="1" applyBorder="1" applyAlignment="1"/>
    <xf numFmtId="165" fontId="0" fillId="6" borderId="0" xfId="1" applyNumberFormat="1" applyFont="1" applyFill="1" applyAlignment="1"/>
    <xf numFmtId="6" fontId="0" fillId="0" borderId="0" xfId="0" applyNumberFormat="1"/>
    <xf numFmtId="164" fontId="5" fillId="0" borderId="0" xfId="1" applyNumberFormat="1" applyFont="1" applyFill="1" applyBorder="1" applyAlignment="1"/>
    <xf numFmtId="0" fontId="1" fillId="0" borderId="3" xfId="8" applyFont="1" applyAlignment="1"/>
    <xf numFmtId="165" fontId="1" fillId="0" borderId="3" xfId="8" applyNumberFormat="1" applyFont="1" applyAlignment="1"/>
    <xf numFmtId="0" fontId="1" fillId="0" borderId="0" xfId="0" applyFont="1"/>
    <xf numFmtId="0" fontId="10" fillId="0" borderId="0" xfId="0" applyFont="1" applyAlignment="1">
      <alignment horizontal="right" indent="1"/>
    </xf>
    <xf numFmtId="165" fontId="1" fillId="0" borderId="0" xfId="1" applyNumberFormat="1" applyFont="1" applyFill="1" applyBorder="1" applyAlignment="1"/>
    <xf numFmtId="164" fontId="1" fillId="0" borderId="5" xfId="1" applyNumberFormat="1" applyFont="1" applyFill="1" applyBorder="1" applyAlignment="1"/>
    <xf numFmtId="0" fontId="0" fillId="6" borderId="3" xfId="8" applyFont="1" applyFill="1" applyAlignment="1"/>
    <xf numFmtId="164" fontId="1" fillId="6" borderId="3" xfId="8" applyNumberFormat="1" applyFont="1" applyFill="1" applyAlignment="1"/>
    <xf numFmtId="164" fontId="1" fillId="0" borderId="0" xfId="1" applyNumberFormat="1" applyFont="1" applyFill="1" applyBorder="1" applyAlignment="1"/>
    <xf numFmtId="0" fontId="1" fillId="6" borderId="3" xfId="8" applyFont="1" applyFill="1" applyAlignment="1"/>
    <xf numFmtId="0" fontId="0" fillId="0" borderId="0" xfId="0" applyAlignment="1">
      <alignment wrapText="1"/>
    </xf>
    <xf numFmtId="164" fontId="1" fillId="6" borderId="0" xfId="1" applyNumberFormat="1" applyFont="1" applyFill="1" applyBorder="1" applyAlignment="1"/>
    <xf numFmtId="165" fontId="1" fillId="6" borderId="0" xfId="1" applyNumberFormat="1" applyFont="1" applyFill="1" applyBorder="1" applyAlignment="1"/>
    <xf numFmtId="0" fontId="1" fillId="0" borderId="3" xfId="8" applyFont="1" applyFill="1" applyAlignment="1"/>
    <xf numFmtId="165" fontId="1" fillId="0" borderId="3" xfId="8" applyNumberFormat="1" applyFont="1" applyFill="1" applyAlignment="1"/>
    <xf numFmtId="164" fontId="1" fillId="0" borderId="0" xfId="1" applyNumberFormat="1" applyFont="1" applyBorder="1" applyAlignment="1"/>
    <xf numFmtId="0" fontId="0" fillId="6" borderId="7" xfId="0" applyFill="1" applyBorder="1"/>
    <xf numFmtId="164" fontId="0" fillId="6" borderId="7" xfId="0" applyNumberFormat="1" applyFill="1" applyBorder="1"/>
    <xf numFmtId="164" fontId="1" fillId="0" borderId="3" xfId="8" applyNumberFormat="1" applyFont="1" applyAlignment="1"/>
    <xf numFmtId="164" fontId="0" fillId="0" borderId="0" xfId="0" applyNumberFormat="1"/>
    <xf numFmtId="165" fontId="0" fillId="6" borderId="7" xfId="0" applyNumberFormat="1" applyFill="1" applyBorder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165" fontId="0" fillId="0" borderId="0" xfId="1" applyNumberFormat="1" applyFont="1" applyBorder="1"/>
    <xf numFmtId="44" fontId="0" fillId="0" borderId="0" xfId="0" applyNumberFormat="1"/>
    <xf numFmtId="164" fontId="0" fillId="0" borderId="0" xfId="1" applyNumberFormat="1" applyFont="1" applyFill="1" applyBorder="1"/>
    <xf numFmtId="10" fontId="0" fillId="0" borderId="0" xfId="0" applyNumberFormat="1"/>
    <xf numFmtId="10" fontId="1" fillId="0" borderId="0" xfId="3" applyNumberFormat="1" applyFont="1" applyBorder="1"/>
    <xf numFmtId="10" fontId="0" fillId="0" borderId="0" xfId="3" applyNumberFormat="1" applyFont="1"/>
    <xf numFmtId="6" fontId="10" fillId="0" borderId="0" xfId="0" applyNumberFormat="1" applyFont="1"/>
    <xf numFmtId="0" fontId="1" fillId="0" borderId="0" xfId="10" applyFill="1"/>
    <xf numFmtId="164" fontId="0" fillId="0" borderId="0" xfId="1" applyNumberFormat="1" applyFont="1"/>
    <xf numFmtId="0" fontId="1" fillId="0" borderId="5" xfId="10" applyFill="1" applyBorder="1"/>
    <xf numFmtId="164" fontId="0" fillId="0" borderId="5" xfId="1" applyNumberFormat="1" applyFont="1" applyBorder="1"/>
    <xf numFmtId="166" fontId="0" fillId="6" borderId="4" xfId="0" applyNumberFormat="1" applyFill="1" applyBorder="1"/>
    <xf numFmtId="8" fontId="0" fillId="0" borderId="0" xfId="0" applyNumberFormat="1"/>
    <xf numFmtId="0" fontId="10" fillId="0" borderId="5" xfId="7" applyFont="1" applyBorder="1" applyAlignment="1">
      <alignment horizontal="center"/>
    </xf>
    <xf numFmtId="0" fontId="10" fillId="0" borderId="0" xfId="6" applyFont="1" applyBorder="1" applyAlignment="1">
      <alignment horizontal="center"/>
    </xf>
    <xf numFmtId="0" fontId="10" fillId="0" borderId="4" xfId="10" applyFont="1" applyFill="1" applyBorder="1" applyAlignment="1">
      <alignment horizontal="right" indent="1"/>
    </xf>
    <xf numFmtId="6" fontId="0" fillId="0" borderId="4" xfId="0" applyNumberFormat="1" applyBorder="1"/>
    <xf numFmtId="6" fontId="0" fillId="6" borderId="4" xfId="0" applyNumberFormat="1" applyFill="1" applyBorder="1"/>
    <xf numFmtId="0" fontId="0" fillId="0" borderId="4" xfId="0" applyBorder="1" applyAlignment="1">
      <alignment horizontal="right" indent="1"/>
    </xf>
    <xf numFmtId="165" fontId="0" fillId="0" borderId="4" xfId="1" applyNumberFormat="1" applyFont="1" applyFill="1" applyBorder="1"/>
    <xf numFmtId="0" fontId="0" fillId="0" borderId="4" xfId="0" applyBorder="1"/>
    <xf numFmtId="0" fontId="1" fillId="0" borderId="0" xfId="10" applyFill="1" applyBorder="1"/>
    <xf numFmtId="164" fontId="0" fillId="0" borderId="5" xfId="1" applyNumberFormat="1" applyFont="1" applyFill="1" applyBorder="1"/>
    <xf numFmtId="0" fontId="1" fillId="6" borderId="0" xfId="8" applyFont="1" applyFill="1" applyBorder="1"/>
    <xf numFmtId="165" fontId="1" fillId="6" borderId="0" xfId="8" applyNumberFormat="1" applyFont="1" applyFill="1" applyBorder="1"/>
    <xf numFmtId="167" fontId="0" fillId="0" borderId="0" xfId="0" applyNumberFormat="1"/>
    <xf numFmtId="165" fontId="10" fillId="0" borderId="4" xfId="2" applyNumberFormat="1" applyFont="1" applyFill="1" applyBorder="1" applyAlignment="1"/>
    <xf numFmtId="164" fontId="0" fillId="0" borderId="4" xfId="1" applyNumberFormat="1" applyFont="1" applyFill="1" applyBorder="1" applyAlignment="1"/>
    <xf numFmtId="10" fontId="0" fillId="0" borderId="4" xfId="3" applyNumberFormat="1" applyFont="1" applyFill="1" applyBorder="1" applyAlignment="1"/>
    <xf numFmtId="164" fontId="0" fillId="0" borderId="4" xfId="1" applyNumberFormat="1" applyFont="1" applyBorder="1" applyAlignment="1"/>
    <xf numFmtId="3" fontId="0" fillId="0" borderId="0" xfId="0" applyNumberFormat="1"/>
    <xf numFmtId="165" fontId="0" fillId="0" borderId="4" xfId="1" applyNumberFormat="1" applyFont="1" applyFill="1" applyBorder="1" applyAlignment="1"/>
    <xf numFmtId="6" fontId="0" fillId="0" borderId="4" xfId="0" applyNumberFormat="1" applyBorder="1" applyAlignment="1">
      <alignment vertical="top"/>
    </xf>
    <xf numFmtId="164" fontId="10" fillId="0" borderId="4" xfId="0" applyNumberFormat="1" applyFont="1" applyBorder="1" applyAlignment="1">
      <alignment vertical="top"/>
    </xf>
    <xf numFmtId="10" fontId="0" fillId="0" borderId="4" xfId="0" applyNumberFormat="1" applyBorder="1" applyAlignment="1">
      <alignment vertical="top"/>
    </xf>
    <xf numFmtId="0" fontId="15" fillId="0" borderId="0" xfId="4" applyFont="1" applyFill="1" applyBorder="1" applyAlignment="1"/>
    <xf numFmtId="0" fontId="16" fillId="0" borderId="0" xfId="5" applyFont="1" applyBorder="1" applyAlignment="1">
      <alignment horizontal="left" vertical="center"/>
    </xf>
    <xf numFmtId="0" fontId="9" fillId="0" borderId="0" xfId="0" applyFont="1"/>
    <xf numFmtId="164" fontId="1" fillId="4" borderId="4" xfId="11" applyNumberFormat="1" applyBorder="1" applyAlignment="1"/>
    <xf numFmtId="0" fontId="0" fillId="7" borderId="0" xfId="0" applyFill="1" applyAlignment="1">
      <alignment horizontal="center"/>
    </xf>
    <xf numFmtId="0" fontId="0" fillId="7" borderId="0" xfId="0" applyFill="1" applyAlignment="1">
      <alignment horizontal="center" vertical="top" wrapText="1"/>
    </xf>
    <xf numFmtId="0" fontId="0" fillId="7" borderId="4" xfId="10" applyFont="1" applyFill="1" applyBorder="1"/>
    <xf numFmtId="0" fontId="4" fillId="7" borderId="0" xfId="6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4" xfId="0" applyFill="1" applyBorder="1"/>
    <xf numFmtId="0" fontId="10" fillId="7" borderId="4" xfId="0" applyFont="1" applyFill="1" applyBorder="1"/>
    <xf numFmtId="0" fontId="10" fillId="7" borderId="4" xfId="7" applyFont="1" applyFill="1" applyBorder="1" applyAlignment="1">
      <alignment horizontal="center" vertical="center"/>
    </xf>
    <xf numFmtId="0" fontId="10" fillId="7" borderId="8" xfId="6" applyFont="1" applyFill="1" applyBorder="1" applyAlignment="1">
      <alignment horizontal="center" vertical="center"/>
    </xf>
    <xf numFmtId="165" fontId="1" fillId="4" borderId="4" xfId="11" applyNumberFormat="1" applyBorder="1"/>
    <xf numFmtId="43" fontId="1" fillId="4" borderId="4" xfId="11" applyNumberFormat="1" applyBorder="1"/>
    <xf numFmtId="165" fontId="0" fillId="0" borderId="0" xfId="2" applyNumberFormat="1" applyFont="1" applyAlignment="1"/>
    <xf numFmtId="9" fontId="10" fillId="8" borderId="4" xfId="0" applyNumberFormat="1" applyFont="1" applyFill="1" applyBorder="1"/>
    <xf numFmtId="0" fontId="0" fillId="0" borderId="0" xfId="1" applyNumberFormat="1" applyFont="1" applyAlignment="1"/>
    <xf numFmtId="168" fontId="0" fillId="0" borderId="4" xfId="0" applyNumberFormat="1" applyBorder="1" applyAlignment="1">
      <alignment vertical="top"/>
    </xf>
    <xf numFmtId="0" fontId="1" fillId="9" borderId="4" xfId="12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/>
    </xf>
    <xf numFmtId="10" fontId="1" fillId="4" borderId="4" xfId="11" applyNumberFormat="1" applyBorder="1" applyAlignment="1"/>
    <xf numFmtId="0" fontId="7" fillId="2" borderId="4" xfId="9" applyBorder="1" applyAlignment="1">
      <alignment horizontal="left" vertical="top"/>
    </xf>
    <xf numFmtId="0" fontId="11" fillId="0" borderId="4" xfId="0" applyFont="1" applyBorder="1" applyAlignment="1">
      <alignment horizontal="left" vertical="top" wrapText="1"/>
    </xf>
    <xf numFmtId="14" fontId="11" fillId="0" borderId="4" xfId="0" applyNumberFormat="1" applyFont="1" applyBorder="1" applyAlignment="1">
      <alignment horizontal="left" vertical="top" wrapText="1"/>
    </xf>
    <xf numFmtId="0" fontId="17" fillId="0" borderId="0" xfId="4" applyFont="1" applyFill="1" applyBorder="1" applyAlignment="1"/>
    <xf numFmtId="0" fontId="1" fillId="10" borderId="4" xfId="13" applyBorder="1" applyAlignment="1">
      <alignment horizontal="left" vertical="top"/>
    </xf>
    <xf numFmtId="9" fontId="0" fillId="0" borderId="0" xfId="0" applyNumberFormat="1"/>
    <xf numFmtId="165" fontId="6" fillId="0" borderId="4" xfId="0" applyNumberFormat="1" applyFont="1" applyBorder="1"/>
    <xf numFmtId="0" fontId="10" fillId="0" borderId="8" xfId="0" applyFont="1" applyBorder="1" applyAlignment="1">
      <alignment horizontal="right" textRotation="90"/>
    </xf>
    <xf numFmtId="0" fontId="10" fillId="0" borderId="9" xfId="0" applyFont="1" applyBorder="1" applyAlignment="1">
      <alignment horizontal="right" textRotation="90"/>
    </xf>
    <xf numFmtId="0" fontId="10" fillId="0" borderId="0" xfId="7" applyFont="1" applyAlignment="1">
      <alignment horizontal="center"/>
    </xf>
    <xf numFmtId="0" fontId="0" fillId="7" borderId="10" xfId="0" applyFill="1" applyBorder="1" applyAlignment="1">
      <alignment horizontal="left" vertical="top" wrapText="1"/>
    </xf>
    <xf numFmtId="0" fontId="0" fillId="7" borderId="11" xfId="0" applyFill="1" applyBorder="1" applyAlignment="1">
      <alignment horizontal="left" vertical="top" wrapText="1"/>
    </xf>
    <xf fontId="19" fillId="11" borderId="0" xfId="0" applyFont="1" applyFill="1" applyAlignment="1">
      <alignment vertical="top" horizontal="left"/>
    </xf>
    <xf fontId="19" fillId="12" borderId="0" xfId="0" applyFont="1" applyFill="1" applyAlignment="1">
      <alignment vertical="top" horizontal="left"/>
    </xf>
    <xf fontId="22" fillId="11" borderId="0" xfId="0" applyFont="1" applyFill="1" applyAlignment="1">
      <alignment vertical="top" horizontal="left"/>
    </xf>
    <xf fontId="23" fillId="11" borderId="0" xfId="0" applyFont="1" applyFill="1" applyAlignment="1">
      <alignment vertical="top" horizontal="left"/>
    </xf>
    <xf fontId="24" fillId="11" borderId="0" xfId="0" applyFont="1" applyFill="1" applyAlignment="1">
      <alignment vertical="bottom" horizontal="left"/>
    </xf>
    <xf fontId="19" fillId="11" borderId="12" xfId="0" applyFont="1" applyFill="1" applyBorder="1" applyAlignment="1">
      <alignment vertical="top" horizontal="left"/>
    </xf>
    <xf fontId="19" fillId="11" borderId="13" xfId="0" applyFont="1" applyFill="1" applyBorder="1" applyAlignment="1">
      <alignment vertical="top" horizontal="left"/>
    </xf>
    <xf fontId="20" fillId="11" borderId="0" xfId="0" applyFont="1" applyFill="1" applyAlignment="1">
      <alignment vertical="top" horizontal="right"/>
    </xf>
    <xf fontId="19" fillId="11" borderId="0" xfId="0" applyFont="1" applyFill="1" applyAlignment="1">
      <alignment vertical="top" horizontal="left" readingOrder="1" wrapText="1"/>
    </xf>
    <xf fontId="20" fillId="11" borderId="0" xfId="0" applyFont="1" applyFill="1" applyAlignment="1">
      <alignment vertical="top" horizontal="left" readingOrder="1" wrapText="1"/>
    </xf>
    <xf fontId="19" fillId="11" borderId="0" xfId="0" applyFont="1" applyFill="1" applyAlignment="1">
      <alignment vertical="top" horizontal="left" readingOrder="1" wrapText="1"/>
    </xf>
    <xf fontId="25" fillId="11" borderId="0" xfId="0" applyFont="1" applyFill="1" applyAlignment="1">
      <alignment vertical="top" horizontal="left" readingOrder="1" wrapText="1"/>
    </xf>
    <xf fontId="21" fillId="11" borderId="0" xfId="0" applyFont="1" applyFill="1" applyAlignment="1">
      <alignment vertical="top" horizontal="right"/>
    </xf>
    <xf fontId="21" fillId="11" borderId="0" xfId="0" applyFont="1" applyFill="1" applyAlignment="1">
      <alignment vertical="top" horizontal="left" readingOrder="1" wrapText="1"/>
    </xf>
  </cellXfs>
  <cellStyles count="14">
    <cellStyle name="20% - Accent2" xfId="12" builtinId="34"/>
    <cellStyle name="20% - Accent3" xfId="10" builtinId="38"/>
    <cellStyle name="40% - Accent6" xfId="11" builtinId="51"/>
    <cellStyle name="60% - Accent2" xfId="13" builtinId="36"/>
    <cellStyle name="Accent1" xfId="9" builtinId="29"/>
    <cellStyle name="Comma" xfId="1" builtinId="3"/>
    <cellStyle name="Currency" xfId="2" builtinId="4"/>
    <cellStyle name="Heading 2" xfId="5" builtinId="17"/>
    <cellStyle name="Heading 3" xfId="6" builtinId="18"/>
    <cellStyle name="Heading 4" xfId="7" builtinId="19"/>
    <cellStyle name="Normal" xfId="0" builtinId="0"/>
    <cellStyle name="Percent" xfId="3" builtinId="5"/>
    <cellStyle name="Title" xfId="4" builtinId="15"/>
    <cellStyle name="Total" xfId="8" builtinId="25"/>
  </cellStyles>
  <dxfs count="9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
  <Relationship Id="rId8" Type="http://schemas.openxmlformats.org/officeDocument/2006/relationships/worksheet" Target="worksheets/sheet8.xml" />
  <Relationship Id="rId13" Type="http://schemas.openxmlformats.org/officeDocument/2006/relationships/sharedStrings" Target="sharedStrings.xml" />
  <Relationship Id="rId3" Type="http://schemas.openxmlformats.org/officeDocument/2006/relationships/worksheet" Target="worksheets/sheet3.xml" />
  <Relationship Id="rId7" Type="http://schemas.openxmlformats.org/officeDocument/2006/relationships/worksheet" Target="worksheets/sheet7.xml" />
  <Relationship Id="rId12" Type="http://schemas.openxmlformats.org/officeDocument/2006/relationships/styles" Target="styles.xml" />
  <Relationship Id="rId2" Type="http://schemas.openxmlformats.org/officeDocument/2006/relationships/worksheet" Target="worksheets/sheet2.xml" />
  <Relationship Id="rId16" Type="http://schemas.openxmlformats.org/officeDocument/2006/relationships/customXml" Target="../customXml/item1.xml" />
  <Relationship Id="rId1" Type="http://schemas.openxmlformats.org/officeDocument/2006/relationships/worksheet" Target="worksheets/sheet1.xml" />
  <Relationship Id="rId6" Type="http://schemas.openxmlformats.org/officeDocument/2006/relationships/worksheet" Target="worksheets/sheet6.xml" />
  <Relationship Id="rId11" Type="http://schemas.openxmlformats.org/officeDocument/2006/relationships/theme" Target="theme/theme1.xml" />
  <Relationship Id="rId5" Type="http://schemas.openxmlformats.org/officeDocument/2006/relationships/worksheet" Target="worksheets/sheet5.xml" />
  <Relationship Id="rId15" Type="http://schemas.openxmlformats.org/officeDocument/2006/relationships/calcChain" Target="calcChain.xml" />
  <Relationship Id="rId10" Type="http://schemas.openxmlformats.org/officeDocument/2006/relationships/worksheet" Target="worksheets/sheet10.xml" />
  <Relationship Id="rId4" Type="http://schemas.openxmlformats.org/officeDocument/2006/relationships/worksheet" Target="worksheets/sheet4.xml" />
  <Relationship Id="rId9" Type="http://schemas.openxmlformats.org/officeDocument/2006/relationships/worksheet" Target="worksheets/sheet9.xml" />
  <Relationship Id="rId14" Type="http://schemas.openxmlformats.org/officeDocument/2006/relationships/sheetMetadata" Target="metadata.xml" />
  <Relationship Id="rId17" Type="http://schemas.openxmlformats.org/officeDocument/2006/relationships/worksheet" Target="worksheets/sheet11.xml" />
</Relationships>
</file>

<file path=xl/drawings/_rels/drawing1.xml.rels>&#65279;<?xml version="1.0" encoding="utf-8" standalone="yes"?>
<Relationships xmlns="http://schemas.openxmlformats.org/package/2006/relationships">
  <Relationship Id="rId1" Type="http://schemas.openxmlformats.org/officeDocument/2006/relationships/image" Target="../media/image1.png" />
  <Relationship Id="rId2" Type="http://schemas.openxmlformats.org/officeDocument/2006/relationships/image" Target="../media/image2.png" />
  <Relationship Id="rId3" Type="http://schemas.openxmlformats.org/officeDocument/2006/relationships/image" Target="../media/image3.png" />
  <Relationship Id="rId4" Type="http://schemas.openxmlformats.org/officeDocument/2006/relationships/image" Target="../media/image4.png" />
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22390</xdr:colOff>
      <xdr:row>7</xdr:row>
      <xdr:rowOff>215188</xdr:rowOff>
    </xdr:to>
    <xdr:pic>
      <xdr:nvPicPr>
        <xdr:cNvPr id="70" name="SAM Blue Stroke" descr="SAM Blue Stroke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689775" cy="180467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4</xdr:col>
      <xdr:colOff>310515</xdr:colOff>
      <xdr:row>3</xdr:row>
      <xdr:rowOff>84274</xdr:rowOff>
    </xdr:to>
    <xdr:grpSp>
      <xdr:nvGrpSpPr>
        <xdr:cNvPr id="44" name="Group 43">
          <a:extLst>
            <a:ext uri="{FF2B5EF4-FFF2-40B4-BE49-F238E27FC236}">
              <a16:creationId xmlns:a16="http://schemas.microsoft.com/office/drawing/2014/main" id="{A2539A09-3B29-EF45-9ECA-BC2B643BC0F2}"/>
            </a:ext>
          </a:extLst>
        </xdr:cNvPr>
        <xdr:cNvGrpSpPr>
          <a:grpSpLocks noChangeAspect="1"/>
        </xdr:cNvGrpSpPr>
      </xdr:nvGrpSpPr>
      <xdr:grpSpPr>
        <a:xfrm>
          <a:off x="0" y="0"/>
          <a:ext cx="10378440" cy="712924"/>
          <a:chOff x="6987541" y="0"/>
          <a:chExt cx="6363924" cy="543262"/>
        </a:xfrm>
      </xdr:grpSpPr>
      <xdr:pic>
        <xdr:nvPicPr>
          <xdr:cNvPr id="71" name="SAM picture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987541" y="1"/>
            <a:ext cx="6363924" cy="543261"/>
          </a:xfrm>
          <a:prstGeom prst="rect">
            <a:avLst/>
          </a:prstGeom>
        </xdr:spPr>
      </xdr:pic>
      <xdr:sp macro="" textlink="">
        <xdr:nvSpPr>
          <xdr:cNvPr id="46" name="Rectangle 45">
            <a:extLst>
              <a:ext uri="{FF2B5EF4-FFF2-40B4-BE49-F238E27FC236}">
                <a16:creationId xmlns:a16="http://schemas.microsoft.com/office/drawing/2014/main" id="{ADA6E48B-6416-C849-BD45-1E1641EF62D1}"/>
              </a:ext>
            </a:extLst>
          </xdr:cNvPr>
          <xdr:cNvSpPr/>
        </xdr:nvSpPr>
        <xdr:spPr>
          <a:xfrm>
            <a:off x="7048499" y="0"/>
            <a:ext cx="5270563" cy="49472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lvl="1" algn="l"/>
            <a:r>
              <a:rPr lang="en-US" sz="1050" b="0">
                <a:solidFill>
                  <a:srgbClr val="292F7C"/>
                </a:solidFill>
                <a:latin typeface="Century Gothic" panose="020B0502020202020204" pitchFamily="34" charset="0"/>
              </a:rPr>
              <a:t>New Perspectives Excel 365 | Module 9: Textbook Project</a:t>
            </a:r>
          </a:p>
        </xdr:txBody>
      </xdr:sp>
    </xdr:grpSp>
    <xdr:clientData/>
  </xdr:twoCellAnchor>
  <xdr:twoCellAnchor>
    <xdr:from>
      <xdr:col>1</xdr:col>
      <xdr:colOff>53515</xdr:colOff>
      <xdr:row>9</xdr:row>
      <xdr:rowOff>17584</xdr:rowOff>
    </xdr:from>
    <xdr:to>
      <xdr:col>1</xdr:col>
      <xdr:colOff>300403</xdr:colOff>
      <xdr:row>9</xdr:row>
      <xdr:rowOff>198857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715" y="2017834"/>
          <a:ext cx="246888" cy="181273"/>
        </a:xfrm>
        <a:prstGeom prst="rect">
          <a:avLst/>
        </a:prstGeom>
      </xdr:spPr>
    </xdr:pic>
    <xdr:clientData/>
  </xdr:twoCellAnchor>
  <xdr:twoCellAnchor>
    <xdr:from>
      <xdr:col>1</xdr:col>
      <xdr:colOff>53515</xdr:colOff>
      <xdr:row>10</xdr:row>
      <xdr:rowOff>17584</xdr:rowOff>
    </xdr:from>
    <xdr:to>
      <xdr:col>1</xdr:col>
      <xdr:colOff>300403</xdr:colOff>
      <xdr:row>10</xdr:row>
      <xdr:rowOff>198857</xdr:rowOff>
    </xdr:to>
    <xdr:pic>
      <xdr:nvPicPr>
        <xdr:cNvPr id="3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715" y="2017834"/>
          <a:ext cx="246888" cy="181273"/>
        </a:xfrm>
        <a:prstGeom prst="rect">
          <a:avLst/>
        </a:prstGeom>
      </xdr:spPr>
    </xdr:pic>
    <xdr:clientData/>
  </xdr:twoCellAnchor>
  <xdr:twoCellAnchor>
    <xdr:from>
      <xdr:col>1</xdr:col>
      <xdr:colOff>85519</xdr:colOff>
      <xdr:row>11</xdr:row>
      <xdr:rowOff>28708</xdr:rowOff>
    </xdr:from>
    <xdr:to>
      <xdr:col>1</xdr:col>
      <xdr:colOff>268399</xdr:colOff>
      <xdr:row>11</xdr:row>
      <xdr:rowOff>207050</xdr:rowOff>
    </xdr:to>
    <xdr:pic>
      <xdr:nvPicPr>
        <xdr:cNvPr id="4" name="Picture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788" y="3018093"/>
          <a:ext cx="182880" cy="178342"/>
        </a:xfrm>
        <a:prstGeom prst="rect">
          <a:avLst/>
        </a:prstGeom>
      </xdr:spPr>
    </xdr:pic>
    <xdr:clientData/>
  </xdr:twoCellAnchor>
  <xdr:twoCellAnchor>
    <xdr:from>
      <xdr:col>1</xdr:col>
      <xdr:colOff>53515</xdr:colOff>
      <xdr:row>13</xdr:row>
      <xdr:rowOff>17584</xdr:rowOff>
    </xdr:from>
    <xdr:to>
      <xdr:col>1</xdr:col>
      <xdr:colOff>300403</xdr:colOff>
      <xdr:row>13</xdr:row>
      <xdr:rowOff>198857</xdr:rowOff>
    </xdr:to>
    <xdr:pic>
      <xdr:nvPicPr>
        <xdr:cNvPr id="5" name="Picture 5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715" y="2017834"/>
          <a:ext cx="246888" cy="181273"/>
        </a:xfrm>
        <a:prstGeom prst="rect">
          <a:avLst/>
        </a:prstGeom>
      </xdr:spPr>
    </xdr:pic>
    <xdr:clientData/>
  </xdr:twoCellAnchor>
  <xdr:twoCellAnchor>
    <xdr:from>
      <xdr:col>1</xdr:col>
      <xdr:colOff>53515</xdr:colOff>
      <xdr:row>14</xdr:row>
      <xdr:rowOff>17584</xdr:rowOff>
    </xdr:from>
    <xdr:to>
      <xdr:col>1</xdr:col>
      <xdr:colOff>300403</xdr:colOff>
      <xdr:row>14</xdr:row>
      <xdr:rowOff>198857</xdr:rowOff>
    </xdr:to>
    <xdr:pic>
      <xdr:nvPicPr>
        <xdr:cNvPr id="6" name="Picture 6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715" y="2017834"/>
          <a:ext cx="246888" cy="181273"/>
        </a:xfrm>
        <a:prstGeom prst="rect">
          <a:avLst/>
        </a:prstGeom>
      </xdr:spPr>
    </xdr:pic>
    <xdr:clientData/>
  </xdr:twoCellAnchor>
  <xdr:twoCellAnchor>
    <xdr:from>
      <xdr:col>1</xdr:col>
      <xdr:colOff>53515</xdr:colOff>
      <xdr:row>15</xdr:row>
      <xdr:rowOff>17584</xdr:rowOff>
    </xdr:from>
    <xdr:to>
      <xdr:col>1</xdr:col>
      <xdr:colOff>300403</xdr:colOff>
      <xdr:row>15</xdr:row>
      <xdr:rowOff>198857</xdr:rowOff>
    </xdr:to>
    <xdr:pic>
      <xdr:nvPicPr>
        <xdr:cNvPr id="7" name="Picture 7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715" y="2017834"/>
          <a:ext cx="246888" cy="181273"/>
        </a:xfrm>
        <a:prstGeom prst="rect">
          <a:avLst/>
        </a:prstGeom>
      </xdr:spPr>
    </xdr:pic>
    <xdr:clientData/>
  </xdr:twoCellAnchor>
  <xdr:twoCellAnchor>
    <xdr:from>
      <xdr:col>1</xdr:col>
      <xdr:colOff>53515</xdr:colOff>
      <xdr:row>17</xdr:row>
      <xdr:rowOff>17584</xdr:rowOff>
    </xdr:from>
    <xdr:to>
      <xdr:col>1</xdr:col>
      <xdr:colOff>300403</xdr:colOff>
      <xdr:row>17</xdr:row>
      <xdr:rowOff>198857</xdr:rowOff>
    </xdr:to>
    <xdr:pic>
      <xdr:nvPicPr>
        <xdr:cNvPr id="8" name="Picture 8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715" y="2017834"/>
          <a:ext cx="246888" cy="181273"/>
        </a:xfrm>
        <a:prstGeom prst="rect">
          <a:avLst/>
        </a:prstGeom>
      </xdr:spPr>
    </xdr:pic>
    <xdr:clientData/>
  </xdr:twoCellAnchor>
  <xdr:twoCellAnchor>
    <xdr:from>
      <xdr:col>1</xdr:col>
      <xdr:colOff>53515</xdr:colOff>
      <xdr:row>18</xdr:row>
      <xdr:rowOff>17584</xdr:rowOff>
    </xdr:from>
    <xdr:to>
      <xdr:col>1</xdr:col>
      <xdr:colOff>300403</xdr:colOff>
      <xdr:row>18</xdr:row>
      <xdr:rowOff>198857</xdr:rowOff>
    </xdr:to>
    <xdr:pic>
      <xdr:nvPicPr>
        <xdr:cNvPr id="9" name="Picture 9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715" y="2017834"/>
          <a:ext cx="246888" cy="181273"/>
        </a:xfrm>
        <a:prstGeom prst="rect">
          <a:avLst/>
        </a:prstGeom>
      </xdr:spPr>
    </xdr:pic>
    <xdr:clientData/>
  </xdr:twoCellAnchor>
  <xdr:twoCellAnchor>
    <xdr:from>
      <xdr:col>1</xdr:col>
      <xdr:colOff>53515</xdr:colOff>
      <xdr:row>19</xdr:row>
      <xdr:rowOff>17584</xdr:rowOff>
    </xdr:from>
    <xdr:to>
      <xdr:col>1</xdr:col>
      <xdr:colOff>300403</xdr:colOff>
      <xdr:row>19</xdr:row>
      <xdr:rowOff>198857</xdr:rowOff>
    </xdr:to>
    <xdr:pic>
      <xdr:nvPicPr>
        <xdr:cNvPr id="10" name="Picture 10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715" y="2017834"/>
          <a:ext cx="246888" cy="181273"/>
        </a:xfrm>
        <a:prstGeom prst="rect">
          <a:avLst/>
        </a:prstGeom>
      </xdr:spPr>
    </xdr:pic>
    <xdr:clientData/>
  </xdr:twoCellAnchor>
  <xdr:twoCellAnchor>
    <xdr:from>
      <xdr:col>1</xdr:col>
      <xdr:colOff>53515</xdr:colOff>
      <xdr:row>20</xdr:row>
      <xdr:rowOff>17584</xdr:rowOff>
    </xdr:from>
    <xdr:to>
      <xdr:col>1</xdr:col>
      <xdr:colOff>300403</xdr:colOff>
      <xdr:row>20</xdr:row>
      <xdr:rowOff>198857</xdr:rowOff>
    </xdr:to>
    <xdr:pic>
      <xdr:nvPicPr>
        <xdr:cNvPr id="11" name="Picture 11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715" y="2017834"/>
          <a:ext cx="246888" cy="181273"/>
        </a:xfrm>
        <a:prstGeom prst="rect">
          <a:avLst/>
        </a:prstGeom>
      </xdr:spPr>
    </xdr:pic>
    <xdr:clientData/>
  </xdr:twoCellAnchor>
  <xdr:twoCellAnchor>
    <xdr:from>
      <xdr:col>1</xdr:col>
      <xdr:colOff>53515</xdr:colOff>
      <xdr:row>22</xdr:row>
      <xdr:rowOff>17584</xdr:rowOff>
    </xdr:from>
    <xdr:to>
      <xdr:col>1</xdr:col>
      <xdr:colOff>300403</xdr:colOff>
      <xdr:row>22</xdr:row>
      <xdr:rowOff>198857</xdr:rowOff>
    </xdr:to>
    <xdr:pic>
      <xdr:nvPicPr>
        <xdr:cNvPr id="12" name="Picture 1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715" y="2017834"/>
          <a:ext cx="246888" cy="181273"/>
        </a:xfrm>
        <a:prstGeom prst="rect">
          <a:avLst/>
        </a:prstGeom>
      </xdr:spPr>
    </xdr:pic>
    <xdr:clientData/>
  </xdr:twoCellAnchor>
  <xdr:twoCellAnchor>
    <xdr:from>
      <xdr:col>1</xdr:col>
      <xdr:colOff>53515</xdr:colOff>
      <xdr:row>23</xdr:row>
      <xdr:rowOff>17584</xdr:rowOff>
    </xdr:from>
    <xdr:to>
      <xdr:col>1</xdr:col>
      <xdr:colOff>300403</xdr:colOff>
      <xdr:row>23</xdr:row>
      <xdr:rowOff>198857</xdr:rowOff>
    </xdr:to>
    <xdr:pic>
      <xdr:nvPicPr>
        <xdr:cNvPr id="13" name="Picture 1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715" y="2017834"/>
          <a:ext cx="246888" cy="181273"/>
        </a:xfrm>
        <a:prstGeom prst="rect">
          <a:avLst/>
        </a:prstGeom>
      </xdr:spPr>
    </xdr:pic>
    <xdr:clientData/>
  </xdr:twoCellAnchor>
  <xdr:twoCellAnchor>
    <xdr:from>
      <xdr:col>1</xdr:col>
      <xdr:colOff>53515</xdr:colOff>
      <xdr:row>24</xdr:row>
      <xdr:rowOff>17584</xdr:rowOff>
    </xdr:from>
    <xdr:to>
      <xdr:col>1</xdr:col>
      <xdr:colOff>300403</xdr:colOff>
      <xdr:row>24</xdr:row>
      <xdr:rowOff>198857</xdr:rowOff>
    </xdr:to>
    <xdr:pic>
      <xdr:nvPicPr>
        <xdr:cNvPr id="14" name="Picture 14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715" y="2017834"/>
          <a:ext cx="246888" cy="181273"/>
        </a:xfrm>
        <a:prstGeom prst="rect">
          <a:avLst/>
        </a:prstGeom>
      </xdr:spPr>
    </xdr:pic>
    <xdr:clientData/>
  </xdr:twoCellAnchor>
  <xdr:twoCellAnchor>
    <xdr:from>
      <xdr:col>1</xdr:col>
      <xdr:colOff>53515</xdr:colOff>
      <xdr:row>25</xdr:row>
      <xdr:rowOff>17584</xdr:rowOff>
    </xdr:from>
    <xdr:to>
      <xdr:col>1</xdr:col>
      <xdr:colOff>300403</xdr:colOff>
      <xdr:row>25</xdr:row>
      <xdr:rowOff>198857</xdr:rowOff>
    </xdr:to>
    <xdr:pic>
      <xdr:nvPicPr>
        <xdr:cNvPr id="15" name="Picture 15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715" y="2017834"/>
          <a:ext cx="246888" cy="181273"/>
        </a:xfrm>
        <a:prstGeom prst="rect">
          <a:avLst/>
        </a:prstGeom>
      </xdr:spPr>
    </xdr:pic>
    <xdr:clientData/>
  </xdr:twoCellAnchor>
  <xdr:twoCellAnchor>
    <xdr:from>
      <xdr:col>1</xdr:col>
      <xdr:colOff>53515</xdr:colOff>
      <xdr:row>26</xdr:row>
      <xdr:rowOff>17584</xdr:rowOff>
    </xdr:from>
    <xdr:to>
      <xdr:col>1</xdr:col>
      <xdr:colOff>300403</xdr:colOff>
      <xdr:row>26</xdr:row>
      <xdr:rowOff>198857</xdr:rowOff>
    </xdr:to>
    <xdr:pic>
      <xdr:nvPicPr>
        <xdr:cNvPr id="16" name="Picture 16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715" y="2017834"/>
          <a:ext cx="246888" cy="181273"/>
        </a:xfrm>
        <a:prstGeom prst="rect">
          <a:avLst/>
        </a:prstGeom>
      </xdr:spPr>
    </xdr:pic>
    <xdr:clientData/>
  </xdr:twoCellAnchor>
  <xdr:twoCellAnchor>
    <xdr:from>
      <xdr:col>1</xdr:col>
      <xdr:colOff>53515</xdr:colOff>
      <xdr:row>27</xdr:row>
      <xdr:rowOff>17584</xdr:rowOff>
    </xdr:from>
    <xdr:to>
      <xdr:col>1</xdr:col>
      <xdr:colOff>300403</xdr:colOff>
      <xdr:row>27</xdr:row>
      <xdr:rowOff>198857</xdr:rowOff>
    </xdr:to>
    <xdr:pic>
      <xdr:nvPicPr>
        <xdr:cNvPr id="17" name="Picture 17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715" y="2017834"/>
          <a:ext cx="246888" cy="181273"/>
        </a:xfrm>
        <a:prstGeom prst="rect">
          <a:avLst/>
        </a:prstGeom>
      </xdr:spPr>
    </xdr:pic>
    <xdr:clientData/>
  </xdr:twoCellAnchor>
  <xdr:twoCellAnchor>
    <xdr:from>
      <xdr:col>1</xdr:col>
      <xdr:colOff>53515</xdr:colOff>
      <xdr:row>29</xdr:row>
      <xdr:rowOff>17584</xdr:rowOff>
    </xdr:from>
    <xdr:to>
      <xdr:col>1</xdr:col>
      <xdr:colOff>300403</xdr:colOff>
      <xdr:row>29</xdr:row>
      <xdr:rowOff>198857</xdr:rowOff>
    </xdr:to>
    <xdr:pic>
      <xdr:nvPicPr>
        <xdr:cNvPr id="18" name="Picture 18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715" y="2017834"/>
          <a:ext cx="246888" cy="181273"/>
        </a:xfrm>
        <a:prstGeom prst="rect">
          <a:avLst/>
        </a:prstGeom>
      </xdr:spPr>
    </xdr:pic>
    <xdr:clientData/>
  </xdr:twoCellAnchor>
  <xdr:twoCellAnchor>
    <xdr:from>
      <xdr:col>1</xdr:col>
      <xdr:colOff>53515</xdr:colOff>
      <xdr:row>30</xdr:row>
      <xdr:rowOff>17584</xdr:rowOff>
    </xdr:from>
    <xdr:to>
      <xdr:col>1</xdr:col>
      <xdr:colOff>300403</xdr:colOff>
      <xdr:row>30</xdr:row>
      <xdr:rowOff>198857</xdr:rowOff>
    </xdr:to>
    <xdr:pic>
      <xdr:nvPicPr>
        <xdr:cNvPr id="19" name="Picture 19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715" y="2017834"/>
          <a:ext cx="246888" cy="181273"/>
        </a:xfrm>
        <a:prstGeom prst="rect">
          <a:avLst/>
        </a:prstGeom>
      </xdr:spPr>
    </xdr:pic>
    <xdr:clientData/>
  </xdr:twoCellAnchor>
  <xdr:twoCellAnchor>
    <xdr:from>
      <xdr:col>1</xdr:col>
      <xdr:colOff>53515</xdr:colOff>
      <xdr:row>31</xdr:row>
      <xdr:rowOff>17584</xdr:rowOff>
    </xdr:from>
    <xdr:to>
      <xdr:col>1</xdr:col>
      <xdr:colOff>300403</xdr:colOff>
      <xdr:row>31</xdr:row>
      <xdr:rowOff>198857</xdr:rowOff>
    </xdr:to>
    <xdr:pic>
      <xdr:nvPicPr>
        <xdr:cNvPr id="20" name="Picture 20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715" y="2017834"/>
          <a:ext cx="246888" cy="181273"/>
        </a:xfrm>
        <a:prstGeom prst="rect">
          <a:avLst/>
        </a:prstGeom>
      </xdr:spPr>
    </xdr:pic>
    <xdr:clientData/>
  </xdr:twoCellAnchor>
  <xdr:twoCellAnchor>
    <xdr:from>
      <xdr:col>1</xdr:col>
      <xdr:colOff>53515</xdr:colOff>
      <xdr:row>32</xdr:row>
      <xdr:rowOff>17584</xdr:rowOff>
    </xdr:from>
    <xdr:to>
      <xdr:col>1</xdr:col>
      <xdr:colOff>300403</xdr:colOff>
      <xdr:row>32</xdr:row>
      <xdr:rowOff>198857</xdr:rowOff>
    </xdr:to>
    <xdr:pic>
      <xdr:nvPicPr>
        <xdr:cNvPr id="21" name="Picture 21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715" y="2017834"/>
          <a:ext cx="246888" cy="181273"/>
        </a:xfrm>
        <a:prstGeom prst="rect">
          <a:avLst/>
        </a:prstGeom>
      </xdr:spPr>
    </xdr:pic>
    <xdr:clientData/>
  </xdr:twoCellAnchor>
  <xdr:twoCellAnchor>
    <xdr:from>
      <xdr:col>1</xdr:col>
      <xdr:colOff>53515</xdr:colOff>
      <xdr:row>34</xdr:row>
      <xdr:rowOff>17584</xdr:rowOff>
    </xdr:from>
    <xdr:to>
      <xdr:col>1</xdr:col>
      <xdr:colOff>300403</xdr:colOff>
      <xdr:row>34</xdr:row>
      <xdr:rowOff>198857</xdr:rowOff>
    </xdr:to>
    <xdr:pic>
      <xdr:nvPicPr>
        <xdr:cNvPr id="22" name="Picture 2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715" y="2017834"/>
          <a:ext cx="246888" cy="181273"/>
        </a:xfrm>
        <a:prstGeom prst="rect">
          <a:avLst/>
        </a:prstGeom>
      </xdr:spPr>
    </xdr:pic>
    <xdr:clientData/>
  </xdr:twoCellAnchor>
  <xdr:twoCellAnchor>
    <xdr:from>
      <xdr:col>1</xdr:col>
      <xdr:colOff>53515</xdr:colOff>
      <xdr:row>35</xdr:row>
      <xdr:rowOff>17584</xdr:rowOff>
    </xdr:from>
    <xdr:to>
      <xdr:col>1</xdr:col>
      <xdr:colOff>300403</xdr:colOff>
      <xdr:row>35</xdr:row>
      <xdr:rowOff>198857</xdr:rowOff>
    </xdr:to>
    <xdr:pic>
      <xdr:nvPicPr>
        <xdr:cNvPr id="23" name="Picture 2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715" y="2017834"/>
          <a:ext cx="246888" cy="181273"/>
        </a:xfrm>
        <a:prstGeom prst="rect">
          <a:avLst/>
        </a:prstGeom>
      </xdr:spPr>
    </xdr:pic>
    <xdr:clientData/>
  </xdr:twoCellAnchor>
  <xdr:twoCellAnchor>
    <xdr:from>
      <xdr:col>1</xdr:col>
      <xdr:colOff>85519</xdr:colOff>
      <xdr:row>37</xdr:row>
      <xdr:rowOff>28708</xdr:rowOff>
    </xdr:from>
    <xdr:to>
      <xdr:col>1</xdr:col>
      <xdr:colOff>268399</xdr:colOff>
      <xdr:row>37</xdr:row>
      <xdr:rowOff>207050</xdr:rowOff>
    </xdr:to>
    <xdr:pic>
      <xdr:nvPicPr>
        <xdr:cNvPr id="24" name="Picture 2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788" y="3018093"/>
          <a:ext cx="182880" cy="178342"/>
        </a:xfrm>
        <a:prstGeom prst="rect">
          <a:avLst/>
        </a:prstGeom>
      </xdr:spPr>
    </xdr:pic>
    <xdr:clientData/>
  </xdr:twoCellAnchor>
  <xdr:twoCellAnchor>
    <xdr:from>
      <xdr:col>1</xdr:col>
      <xdr:colOff>53515</xdr:colOff>
      <xdr:row>39</xdr:row>
      <xdr:rowOff>17584</xdr:rowOff>
    </xdr:from>
    <xdr:to>
      <xdr:col>1</xdr:col>
      <xdr:colOff>300403</xdr:colOff>
      <xdr:row>39</xdr:row>
      <xdr:rowOff>198857</xdr:rowOff>
    </xdr:to>
    <xdr:pic>
      <xdr:nvPicPr>
        <xdr:cNvPr id="25" name="Picture 25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715" y="2017834"/>
          <a:ext cx="246888" cy="181273"/>
        </a:xfrm>
        <a:prstGeom prst="rect">
          <a:avLst/>
        </a:prstGeom>
      </xdr:spPr>
    </xdr:pic>
    <xdr:clientData/>
  </xdr:twoCellAnchor>
  <xdr:twoCellAnchor>
    <xdr:from>
      <xdr:col>1</xdr:col>
      <xdr:colOff>53515</xdr:colOff>
      <xdr:row>41</xdr:row>
      <xdr:rowOff>17584</xdr:rowOff>
    </xdr:from>
    <xdr:to>
      <xdr:col>1</xdr:col>
      <xdr:colOff>300403</xdr:colOff>
      <xdr:row>41</xdr:row>
      <xdr:rowOff>198857</xdr:rowOff>
    </xdr:to>
    <xdr:pic>
      <xdr:nvPicPr>
        <xdr:cNvPr id="26" name="Picture 26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715" y="2017834"/>
          <a:ext cx="246888" cy="181273"/>
        </a:xfrm>
        <a:prstGeom prst="rect">
          <a:avLst/>
        </a:prstGeom>
      </xdr:spPr>
    </xdr:pic>
    <xdr:clientData/>
  </xdr:twoCellAnchor>
  <xdr:twoCellAnchor>
    <xdr:from>
      <xdr:col>1</xdr:col>
      <xdr:colOff>53515</xdr:colOff>
      <xdr:row>43</xdr:row>
      <xdr:rowOff>17584</xdr:rowOff>
    </xdr:from>
    <xdr:to>
      <xdr:col>1</xdr:col>
      <xdr:colOff>300403</xdr:colOff>
      <xdr:row>43</xdr:row>
      <xdr:rowOff>198857</xdr:rowOff>
    </xdr:to>
    <xdr:pic>
      <xdr:nvPicPr>
        <xdr:cNvPr id="27" name="Picture 27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715" y="2017834"/>
          <a:ext cx="246888" cy="181273"/>
        </a:xfrm>
        <a:prstGeom prst="rect">
          <a:avLst/>
        </a:prstGeom>
      </xdr:spPr>
    </xdr:pic>
    <xdr:clientData/>
  </xdr:twoCellAnchor>
  <xdr:twoCellAnchor>
    <xdr:from>
      <xdr:col>1</xdr:col>
      <xdr:colOff>53515</xdr:colOff>
      <xdr:row>44</xdr:row>
      <xdr:rowOff>17584</xdr:rowOff>
    </xdr:from>
    <xdr:to>
      <xdr:col>1</xdr:col>
      <xdr:colOff>300403</xdr:colOff>
      <xdr:row>44</xdr:row>
      <xdr:rowOff>198857</xdr:rowOff>
    </xdr:to>
    <xdr:pic>
      <xdr:nvPicPr>
        <xdr:cNvPr id="28" name="Picture 28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715" y="2017834"/>
          <a:ext cx="246888" cy="181273"/>
        </a:xfrm>
        <a:prstGeom prst="rect">
          <a:avLst/>
        </a:prstGeom>
      </xdr:spPr>
    </xdr:pic>
    <xdr:clientData/>
  </xdr:twoCellAnchor>
  <xdr:twoCellAnchor>
    <xdr:from>
      <xdr:col>1</xdr:col>
      <xdr:colOff>53515</xdr:colOff>
      <xdr:row>46</xdr:row>
      <xdr:rowOff>17584</xdr:rowOff>
    </xdr:from>
    <xdr:to>
      <xdr:col>1</xdr:col>
      <xdr:colOff>300403</xdr:colOff>
      <xdr:row>46</xdr:row>
      <xdr:rowOff>198857</xdr:rowOff>
    </xdr:to>
    <xdr:pic>
      <xdr:nvPicPr>
        <xdr:cNvPr id="29" name="Picture 29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715" y="2017834"/>
          <a:ext cx="246888" cy="181273"/>
        </a:xfrm>
        <a:prstGeom prst="rect">
          <a:avLst/>
        </a:prstGeom>
      </xdr:spPr>
    </xdr:pic>
    <xdr:clientData/>
  </xdr:twoCellAnchor>
  <xdr:twoCellAnchor>
    <xdr:from>
      <xdr:col>1</xdr:col>
      <xdr:colOff>53515</xdr:colOff>
      <xdr:row>48</xdr:row>
      <xdr:rowOff>17584</xdr:rowOff>
    </xdr:from>
    <xdr:to>
      <xdr:col>1</xdr:col>
      <xdr:colOff>300403</xdr:colOff>
      <xdr:row>48</xdr:row>
      <xdr:rowOff>198857</xdr:rowOff>
    </xdr:to>
    <xdr:pic>
      <xdr:nvPicPr>
        <xdr:cNvPr id="30" name="Picture 30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715" y="2017834"/>
          <a:ext cx="246888" cy="181273"/>
        </a:xfrm>
        <a:prstGeom prst="rect">
          <a:avLst/>
        </a:prstGeom>
      </xdr:spPr>
    </xdr:pic>
    <xdr:clientData/>
  </xdr:twoCellAnchor>
  <xdr:twoCellAnchor>
    <xdr:from>
      <xdr:col>1</xdr:col>
      <xdr:colOff>53515</xdr:colOff>
      <xdr:row>49</xdr:row>
      <xdr:rowOff>17584</xdr:rowOff>
    </xdr:from>
    <xdr:to>
      <xdr:col>1</xdr:col>
      <xdr:colOff>300403</xdr:colOff>
      <xdr:row>49</xdr:row>
      <xdr:rowOff>198857</xdr:rowOff>
    </xdr:to>
    <xdr:pic>
      <xdr:nvPicPr>
        <xdr:cNvPr id="31" name="Picture 31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715" y="2017834"/>
          <a:ext cx="246888" cy="181273"/>
        </a:xfrm>
        <a:prstGeom prst="rect">
          <a:avLst/>
        </a:prstGeom>
      </xdr:spPr>
    </xdr:pic>
    <xdr:clientData/>
  </xdr:twoCellAnchor>
  <xdr:twoCellAnchor>
    <xdr:from>
      <xdr:col>1</xdr:col>
      <xdr:colOff>53515</xdr:colOff>
      <xdr:row>51</xdr:row>
      <xdr:rowOff>17584</xdr:rowOff>
    </xdr:from>
    <xdr:to>
      <xdr:col>1</xdr:col>
      <xdr:colOff>300403</xdr:colOff>
      <xdr:row>51</xdr:row>
      <xdr:rowOff>198857</xdr:rowOff>
    </xdr:to>
    <xdr:pic>
      <xdr:nvPicPr>
        <xdr:cNvPr id="32" name="Picture 3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715" y="2017834"/>
          <a:ext cx="246888" cy="1812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Green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&#65279;<?xml version="1.0" encoding="utf-8" standalone="yes"?>
<Relationships xmlns="http://schemas.openxmlformats.org/package/2006/relationships">
  <Relationship Id="rId1" Type="http://schemas.openxmlformats.org/officeDocument/2006/relationships/printerSettings" Target="../printerSettings/printerSettings6.bin" />
  <Relationship Id="rId2" Type="http://schemas.openxmlformats.org/officeDocument/2006/relationships/comments" Target="../comments1.xml" />
  <Relationship Id="rId3" Type="http://schemas.openxmlformats.org/officeDocument/2006/relationships/vmlDrawing" Target="../drawings/vmlDrawing1.vml" />
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&#65279;<?xml version="1.0" encoding="utf-8" standalone="yes"?>
<Relationships xmlns="http://schemas.openxmlformats.org/package/2006/relationships">
  <Relationship Id="rId1" Type="http://schemas.openxmlformats.org/officeDocument/2006/relationships/printerSettings" Target="../printerSettings/printerSettings9.bin" />
  <Relationship Id="rId2" Type="http://schemas.openxmlformats.org/officeDocument/2006/relationships/comments" Target="../comments2.xml" />
  <Relationship Id="rId3" Type="http://schemas.openxmlformats.org/officeDocument/2006/relationships/vmlDrawing" Target="../drawings/vmlDrawing2.vml" />
</Relationships>
</file>

<file path=xl/worksheets/_rels/sheet11.xml.rels>&#65279;<?xml version="1.0" encoding="utf-8" standalone="yes"?>
<Relationships xmlns="http://schemas.openxmlformats.org/package/2006/relationships">
  <Relationship Id="rId1" Type="http://schemas.openxmlformats.org/officeDocument/2006/relationships/drawing" Target="../drawings/drawing1.xml" />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zoomScale="140" zoomScaleNormal="140" workbookViewId="0">
      <selection activeCell="B4" sqref="B4"/>
    </sheetView>
  </sheetViews>
  <sheetFormatPr defaultRowHeight="15" x14ac:dyDescent="0.25"/>
  <cols>
    <col min="2" max="2" width="44.5703125" customWidth="1"/>
  </cols>
  <sheetData>
    <row r="1" spans="1:2" ht="42.75" x14ac:dyDescent="0.75">
      <c r="A1" s="1" t="s">
        <v>203</v>
      </c>
    </row>
    <row r="3" spans="1:2" x14ac:dyDescent="0.25">
      <c r="A3" s="103" t="s">
        <v>0</v>
      </c>
      <c r="B3" s="104" t="s">
        <v>214</v>
      </c>
    </row>
    <row r="4" spans="1:2" x14ac:dyDescent="0.25">
      <c r="A4" s="103" t="s">
        <v>1</v>
      </c>
      <c r="B4" s="105">
        <f ca="1">NOW()</f>
        <v>45555.435357407405</v>
      </c>
    </row>
    <row r="5" spans="1:2" ht="45" x14ac:dyDescent="0.25">
      <c r="A5" s="103" t="s">
        <v>2</v>
      </c>
      <c r="B5" s="104" t="s">
        <v>204</v>
      </c>
    </row>
  </sheetData>
  <dataValidations count="1">
    <dataValidation allowBlank="1" error="pavI8MeUFtEyxX2I4tkya5338ed7-b54d-4d25-ba7f-a8c51be90444" sqref="A1:B5" xr:uid="{00000000-0002-0000-0000-000000000000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153"/>
  <sheetViews>
    <sheetView topLeftCell="A20" zoomScaleNormal="100" workbookViewId="0">
      <selection activeCell="B31" sqref="B31"/>
    </sheetView>
  </sheetViews>
  <sheetFormatPr defaultColWidth="9.140625" defaultRowHeight="15" x14ac:dyDescent="0.25"/>
  <cols>
    <col min="1" max="1" width="37.140625" style="25" bestFit="1" customWidth="1"/>
    <col min="2" max="2" width="13.42578125" style="25" customWidth="1"/>
    <col min="3" max="16384" width="9.140625" style="25"/>
  </cols>
  <sheetData>
    <row r="1" spans="1:2" s="3" customFormat="1" ht="42.75" x14ac:dyDescent="0.75">
      <c r="A1" s="1" t="s">
        <v>203</v>
      </c>
    </row>
    <row r="2" spans="1:2" s="3" customFormat="1" ht="18.75" x14ac:dyDescent="0.3">
      <c r="A2" s="106" t="s">
        <v>202</v>
      </c>
    </row>
    <row r="3" spans="1:2" customFormat="1" ht="15" customHeight="1" x14ac:dyDescent="0.25">
      <c r="A3" s="82" t="s">
        <v>3</v>
      </c>
    </row>
    <row r="4" spans="1:2" customFormat="1" x14ac:dyDescent="0.25">
      <c r="A4" t="s">
        <v>148</v>
      </c>
      <c r="B4" s="5">
        <v>200000</v>
      </c>
    </row>
    <row r="5" spans="1:2" customFormat="1" x14ac:dyDescent="0.25">
      <c r="A5" t="s">
        <v>139</v>
      </c>
      <c r="B5" s="5">
        <v>840000</v>
      </c>
    </row>
    <row r="6" spans="1:2" customFormat="1" x14ac:dyDescent="0.25">
      <c r="A6" t="s">
        <v>140</v>
      </c>
      <c r="B6" s="5">
        <v>550000</v>
      </c>
    </row>
    <row r="7" spans="1:2" customFormat="1" x14ac:dyDescent="0.25">
      <c r="A7" s="6" t="s">
        <v>149</v>
      </c>
      <c r="B7" s="7">
        <v>510000</v>
      </c>
    </row>
    <row r="8" spans="1:2" customFormat="1" x14ac:dyDescent="0.25">
      <c r="A8" s="8" t="s">
        <v>4</v>
      </c>
      <c r="B8" s="9">
        <f>SUM(B4:B7)</f>
        <v>2100000</v>
      </c>
    </row>
    <row r="9" spans="1:2" customFormat="1" ht="17.25" x14ac:dyDescent="0.25">
      <c r="A9" s="82" t="s">
        <v>5</v>
      </c>
    </row>
    <row r="10" spans="1:2" customFormat="1" x14ac:dyDescent="0.25">
      <c r="A10" t="s">
        <v>6</v>
      </c>
      <c r="B10" s="5">
        <v>550000</v>
      </c>
    </row>
    <row r="11" spans="1:2" customFormat="1" x14ac:dyDescent="0.25">
      <c r="A11" t="s">
        <v>7</v>
      </c>
      <c r="B11" s="5">
        <v>300000</v>
      </c>
    </row>
    <row r="12" spans="1:2" customFormat="1" x14ac:dyDescent="0.25">
      <c r="A12" t="s">
        <v>8</v>
      </c>
      <c r="B12" s="10">
        <v>250000</v>
      </c>
    </row>
    <row r="13" spans="1:2" customFormat="1" x14ac:dyDescent="0.25">
      <c r="A13" s="6" t="s">
        <v>9</v>
      </c>
      <c r="B13" s="84">
        <v>750000</v>
      </c>
    </row>
    <row r="14" spans="1:2" customFormat="1" x14ac:dyDescent="0.25">
      <c r="A14" s="11" t="s">
        <v>10</v>
      </c>
      <c r="B14" s="12">
        <f>SUM(B10:B13)</f>
        <v>1850000</v>
      </c>
    </row>
    <row r="15" spans="1:2" customFormat="1" x14ac:dyDescent="0.25">
      <c r="A15" s="13" t="s">
        <v>11</v>
      </c>
      <c r="B15" s="14">
        <f>B8+B14</f>
        <v>3950000</v>
      </c>
    </row>
    <row r="16" spans="1:2" customFormat="1" x14ac:dyDescent="0.25">
      <c r="B16" s="15"/>
    </row>
    <row r="17" spans="1:2" customFormat="1" ht="23.25" x14ac:dyDescent="0.35">
      <c r="A17" s="81" t="s">
        <v>12</v>
      </c>
    </row>
    <row r="18" spans="1:2" customFormat="1" x14ac:dyDescent="0.25">
      <c r="A18" s="6" t="s">
        <v>13</v>
      </c>
      <c r="B18" s="7">
        <f>SUM($B$11:$B$13)</f>
        <v>1300000</v>
      </c>
    </row>
    <row r="19" spans="1:2" customFormat="1" x14ac:dyDescent="0.25">
      <c r="A19" t="s">
        <v>14</v>
      </c>
      <c r="B19" s="16">
        <f>B10</f>
        <v>550000</v>
      </c>
    </row>
    <row r="20" spans="1:2" customFormat="1" x14ac:dyDescent="0.25">
      <c r="A20" s="6" t="s">
        <v>15</v>
      </c>
      <c r="B20" s="17">
        <f>B22-B18-B19</f>
        <v>300000</v>
      </c>
    </row>
    <row r="21" spans="1:2" customFormat="1" x14ac:dyDescent="0.25">
      <c r="A21" s="18" t="s">
        <v>16</v>
      </c>
      <c r="B21" s="19">
        <f>SUM(B19:B20)</f>
        <v>850000</v>
      </c>
    </row>
    <row r="22" spans="1:2" customFormat="1" x14ac:dyDescent="0.25">
      <c r="A22" s="13" t="s">
        <v>17</v>
      </c>
      <c r="B22" s="20">
        <f>B39</f>
        <v>2150000</v>
      </c>
    </row>
    <row r="23" spans="1:2" customFormat="1" x14ac:dyDescent="0.25"/>
    <row r="24" spans="1:2" customFormat="1" ht="23.25" x14ac:dyDescent="0.35">
      <c r="A24" s="81" t="s">
        <v>18</v>
      </c>
    </row>
    <row r="25" spans="1:2" customFormat="1" ht="17.25" x14ac:dyDescent="0.25">
      <c r="A25" s="82" t="s">
        <v>19</v>
      </c>
    </row>
    <row r="26" spans="1:2" customFormat="1" x14ac:dyDescent="0.25">
      <c r="A26" t="s">
        <v>20</v>
      </c>
      <c r="B26" s="84">
        <v>1250000</v>
      </c>
    </row>
    <row r="27" spans="1:2" customFormat="1" x14ac:dyDescent="0.25">
      <c r="A27" s="6" t="s">
        <v>21</v>
      </c>
      <c r="B27" s="7">
        <v>0</v>
      </c>
    </row>
    <row r="28" spans="1:2" customFormat="1" x14ac:dyDescent="0.25">
      <c r="A28" s="13" t="s">
        <v>22</v>
      </c>
      <c r="B28" s="20">
        <f>SUM(B26:B27)</f>
        <v>1250000</v>
      </c>
    </row>
    <row r="29" spans="1:2" customFormat="1" ht="17.25" x14ac:dyDescent="0.25">
      <c r="A29" s="82" t="s">
        <v>23</v>
      </c>
    </row>
    <row r="30" spans="1:2" customFormat="1" x14ac:dyDescent="0.25">
      <c r="A30" t="s">
        <v>24</v>
      </c>
      <c r="B30" s="5">
        <v>1100000</v>
      </c>
    </row>
    <row r="31" spans="1:2" customFormat="1" x14ac:dyDescent="0.25">
      <c r="A31" t="s">
        <v>25</v>
      </c>
      <c r="B31" s="84">
        <v>900000</v>
      </c>
    </row>
    <row r="32" spans="1:2" customFormat="1" x14ac:dyDescent="0.25">
      <c r="A32" s="6" t="s">
        <v>141</v>
      </c>
      <c r="B32" s="7">
        <v>1000000</v>
      </c>
    </row>
    <row r="33" spans="1:2" customFormat="1" x14ac:dyDescent="0.25">
      <c r="A33" s="13" t="s">
        <v>26</v>
      </c>
      <c r="B33" s="14">
        <f>SUM(B30:B32)</f>
        <v>3000000</v>
      </c>
    </row>
    <row r="34" spans="1:2" customFormat="1" x14ac:dyDescent="0.25">
      <c r="B34" s="21"/>
    </row>
    <row r="35" spans="1:2" customFormat="1" ht="23.25" x14ac:dyDescent="0.35">
      <c r="A35" s="81" t="s">
        <v>27</v>
      </c>
      <c r="B35" s="21"/>
    </row>
    <row r="36" spans="1:2" customFormat="1" x14ac:dyDescent="0.25">
      <c r="A36" t="s">
        <v>28</v>
      </c>
      <c r="B36" s="16">
        <f>B33</f>
        <v>3000000</v>
      </c>
    </row>
    <row r="37" spans="1:2" customFormat="1" x14ac:dyDescent="0.25">
      <c r="A37" t="s">
        <v>29</v>
      </c>
      <c r="B37" s="22">
        <f>-B8</f>
        <v>-2100000</v>
      </c>
    </row>
    <row r="38" spans="1:2" customFormat="1" x14ac:dyDescent="0.25">
      <c r="A38" s="6" t="s">
        <v>30</v>
      </c>
      <c r="B38" s="17">
        <f>B36+B37</f>
        <v>900000</v>
      </c>
    </row>
    <row r="39" spans="1:2" customFormat="1" x14ac:dyDescent="0.25">
      <c r="A39" s="13" t="s">
        <v>31</v>
      </c>
      <c r="B39" s="14">
        <f>B28+B38</f>
        <v>2150000</v>
      </c>
    </row>
    <row r="40" spans="1:2" customFormat="1" x14ac:dyDescent="0.25"/>
    <row r="41" spans="1:2" customFormat="1" ht="15.75" thickBot="1" x14ac:dyDescent="0.3">
      <c r="A41" s="23" t="s">
        <v>32</v>
      </c>
      <c r="B41" s="24">
        <f>B28+B33</f>
        <v>4250000</v>
      </c>
    </row>
    <row r="42" spans="1:2" customFormat="1" ht="15.75" thickTop="1" x14ac:dyDescent="0.25"/>
    <row r="43" spans="1:2" customFormat="1" x14ac:dyDescent="0.25"/>
    <row r="44" spans="1:2" customFormat="1" x14ac:dyDescent="0.25"/>
    <row r="45" spans="1:2" customFormat="1" x14ac:dyDescent="0.25"/>
    <row r="46" spans="1:2" customFormat="1" x14ac:dyDescent="0.25"/>
    <row r="47" spans="1:2" customFormat="1" x14ac:dyDescent="0.25"/>
    <row r="48" spans="1:2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</sheetData>
  <conditionalFormatting sqref="B37">
    <cfRule type="cellIs" dxfId="8" priority="1" operator="lessThan">
      <formula>0</formula>
    </cfRule>
  </conditionalFormatting>
  <dataValidations count="1">
    <dataValidation allowBlank="1" error="pavI8MeUFtEyxX2I4tkya5338ed7-b54d-4d25-ba7f-a8c51be90444" sqref="A1:B153" xr:uid="{00000000-0002-0000-0100-000000000000}"/>
  </dataValidations>
  <pageMargins left="0.7" right="0.7" top="0.75" bottom="0.75" header="0.3" footer="0.3"/>
  <pageSetup orientation="portrait" r:id="rId1"/>
  <headerFooter>
    <oddFooter>&amp;R&amp;F &amp;A 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29396-D12D-4E37-9248-3C556B1D0AC2}">
  <sheetPr>
    <pageSetUpPr fitToPage="1"/>
  </sheetPr>
  <dimension ref="A1:H155"/>
  <sheetViews>
    <sheetView tabSelected="0" zoomScaleNormal="100" workbookViewId="0">
      <selection activeCell="G13" sqref="G13"/>
    </sheetView>
  </sheetViews>
  <sheetFormatPr defaultColWidth="9.140625" defaultRowHeight="15" x14ac:dyDescent="0.25"/>
  <cols>
    <col min="1" max="1" width="32.85546875" style="25" customWidth="1"/>
    <col min="2" max="6" width="14.28515625" style="25" customWidth="1"/>
    <col min="7" max="7" width="12.85546875" style="25" customWidth="1"/>
    <col min="8" max="9" width="9.140625" style="25"/>
    <col min="10" max="10" width="11.42578125" style="25" customWidth="1"/>
    <col min="11" max="11" width="10.28515625" style="25" customWidth="1"/>
    <col min="12" max="16384" width="9.140625" style="25"/>
  </cols>
  <sheetData>
    <row r="1" spans="1:6" s="3" customFormat="1" ht="42.75" x14ac:dyDescent="0.75">
      <c r="A1" s="1" t="s">
        <v>203</v>
      </c>
    </row>
    <row r="2" spans="1:6" s="3" customFormat="1" ht="18.75" x14ac:dyDescent="0.3">
      <c r="A2" s="106" t="s">
        <v>33</v>
      </c>
    </row>
    <row r="3" spans="1:6" s="3" customFormat="1" ht="15" customHeight="1" x14ac:dyDescent="0.35">
      <c r="A3" s="4"/>
      <c r="E3" s="26" t="s">
        <v>145</v>
      </c>
      <c r="F3" s="97">
        <v>0.15</v>
      </c>
    </row>
    <row r="4" spans="1:6" s="3" customFormat="1" ht="15" customHeight="1" x14ac:dyDescent="0.35">
      <c r="A4" s="4"/>
      <c r="E4" s="26" t="s">
        <v>146</v>
      </c>
      <c r="F4" s="97">
        <v>0.1</v>
      </c>
    </row>
    <row r="5" spans="1:6" s="3" customFormat="1" ht="15" customHeight="1" x14ac:dyDescent="0.35">
      <c r="A5" s="4"/>
      <c r="E5" s="26" t="s">
        <v>205</v>
      </c>
      <c r="F5" s="97">
        <v>0.3</v>
      </c>
    </row>
    <row r="6" spans="1:6" s="3" customFormat="1" ht="15" customHeight="1" x14ac:dyDescent="0.35">
      <c r="A6" s="4"/>
      <c r="E6" s="26" t="s">
        <v>206</v>
      </c>
      <c r="F6" s="97">
        <v>0.33</v>
      </c>
    </row>
    <row r="7" spans="1:6" customFormat="1" ht="15" customHeight="1" x14ac:dyDescent="0.25"/>
    <row r="8" spans="1:6" customFormat="1" ht="15" customHeight="1" x14ac:dyDescent="0.25">
      <c r="A8" s="82" t="s">
        <v>34</v>
      </c>
      <c r="B8" s="85" t="s">
        <v>35</v>
      </c>
      <c r="C8" s="85" t="s">
        <v>36</v>
      </c>
      <c r="D8" s="85" t="s">
        <v>37</v>
      </c>
      <c r="E8" s="85" t="s">
        <v>38</v>
      </c>
      <c r="F8" s="85" t="s">
        <v>39</v>
      </c>
    </row>
    <row r="9" spans="1:6" customFormat="1" ht="15" customHeight="1" x14ac:dyDescent="0.25">
      <c r="A9" t="s">
        <v>142</v>
      </c>
      <c r="B9" s="27">
        <v>1999999.9999999993</v>
      </c>
      <c r="C9" s="27">
        <v>2514866.8593658707</v>
      </c>
      <c r="D9" s="27">
        <v>3162277.66016838</v>
      </c>
      <c r="E9" s="27">
        <v>3976353.6438352545</v>
      </c>
      <c r="F9" s="27">
        <v>5000000.0000000028</v>
      </c>
    </row>
    <row r="10" spans="1:6" customFormat="1" ht="15" customHeight="1" x14ac:dyDescent="0.25">
      <c r="A10" t="s">
        <v>143</v>
      </c>
      <c r="B10" s="31">
        <f xml:space="preserve"> B9*$F$3</f>
        <v>299999.99999999988</v>
      </c>
      <c r="C10" s="31">
        <f t="shared" ref="C10:F10" si="0" xml:space="preserve"> C9*$F$3</f>
        <v>377230.02890488057</v>
      </c>
      <c r="D10" s="31">
        <f t="shared" si="0"/>
        <v>474341.64902525698</v>
      </c>
      <c r="E10" s="31">
        <f t="shared" si="0"/>
        <v>596453.04657528817</v>
      </c>
      <c r="F10" s="31">
        <f t="shared" si="0"/>
        <v>750000.00000000035</v>
      </c>
    </row>
    <row r="11" spans="1:6" customFormat="1" ht="15" customHeight="1" x14ac:dyDescent="0.25">
      <c r="A11" s="6" t="s">
        <v>144</v>
      </c>
      <c r="B11" s="28">
        <f xml:space="preserve"> B9*$F$4</f>
        <v>199999.99999999994</v>
      </c>
      <c r="C11" s="28">
        <f t="shared" ref="C11:F11" si="1" xml:space="preserve"> C9*$F$4</f>
        <v>251486.68593658708</v>
      </c>
      <c r="D11" s="28">
        <f t="shared" si="1"/>
        <v>316227.76601683802</v>
      </c>
      <c r="E11" s="28">
        <f t="shared" si="1"/>
        <v>397635.36438352545</v>
      </c>
      <c r="F11" s="28">
        <f t="shared" si="1"/>
        <v>500000.00000000029</v>
      </c>
    </row>
    <row r="12" spans="1:6" customFormat="1" ht="15" customHeight="1" thickBot="1" x14ac:dyDescent="0.3">
      <c r="A12" s="29" t="s">
        <v>40</v>
      </c>
      <c r="B12" s="30">
        <f xml:space="preserve"> B9 - (B10 + B11)</f>
        <v>1499999.9999999995</v>
      </c>
      <c r="C12" s="30">
        <f t="shared" ref="C12:F12" si="2" xml:space="preserve"> C9 - (C10 + C11)</f>
        <v>1886150.1445244029</v>
      </c>
      <c r="D12" s="30">
        <f t="shared" si="2"/>
        <v>2371708.2451262851</v>
      </c>
      <c r="E12" s="30">
        <f t="shared" si="2"/>
        <v>2982265.232876441</v>
      </c>
      <c r="F12" s="30">
        <f t="shared" si="2"/>
        <v>3750000.0000000019</v>
      </c>
    </row>
    <row r="13" spans="1:6" customFormat="1" ht="15" customHeight="1" thickTop="1" x14ac:dyDescent="0.25">
      <c r="B13" s="31"/>
      <c r="C13" s="31"/>
      <c r="D13" s="31"/>
      <c r="E13" s="31"/>
      <c r="F13" s="31"/>
    </row>
    <row r="14" spans="1:6" customFormat="1" ht="15" customHeight="1" x14ac:dyDescent="0.25">
      <c r="A14" s="82" t="s">
        <v>41</v>
      </c>
      <c r="B14" s="85" t="s">
        <v>35</v>
      </c>
      <c r="C14" s="85" t="s">
        <v>36</v>
      </c>
      <c r="D14" s="85" t="s">
        <v>37</v>
      </c>
      <c r="E14" s="85" t="s">
        <v>38</v>
      </c>
      <c r="F14" s="85" t="s">
        <v>39</v>
      </c>
    </row>
    <row r="15" spans="1:6" customFormat="1" ht="15" customHeight="1" x14ac:dyDescent="0.25">
      <c r="A15" t="s">
        <v>42</v>
      </c>
      <c r="B15" s="27">
        <v>750000</v>
      </c>
      <c r="C15" s="27">
        <v>780000</v>
      </c>
      <c r="D15" s="27">
        <v>811200.00000000012</v>
      </c>
      <c r="E15" s="27">
        <v>843648.00000000012</v>
      </c>
      <c r="F15" s="27">
        <v>877393.92000000016</v>
      </c>
    </row>
    <row r="16" spans="1:6" customFormat="1" ht="15" customHeight="1" x14ac:dyDescent="0.25">
      <c r="A16" t="s">
        <v>43</v>
      </c>
      <c r="B16" s="31">
        <v>150000</v>
      </c>
      <c r="C16" s="31">
        <v>156000</v>
      </c>
      <c r="D16" s="31">
        <v>162240.00000000003</v>
      </c>
      <c r="E16" s="31">
        <v>168729.60000000001</v>
      </c>
      <c r="F16" s="31">
        <v>175478.78400000004</v>
      </c>
    </row>
    <row r="17" spans="1:7" customFormat="1" ht="15" customHeight="1" x14ac:dyDescent="0.25">
      <c r="A17" t="s">
        <v>147</v>
      </c>
      <c r="B17" s="31">
        <v>50000</v>
      </c>
      <c r="C17" s="31">
        <v>52000</v>
      </c>
      <c r="D17" s="31">
        <v>54080.000000000007</v>
      </c>
      <c r="E17" s="31">
        <v>56243.200000000004</v>
      </c>
      <c r="F17" s="31">
        <v>58492.928000000007</v>
      </c>
    </row>
    <row r="18" spans="1:7" customFormat="1" ht="15" customHeight="1" x14ac:dyDescent="0.25">
      <c r="A18" t="s">
        <v>44</v>
      </c>
      <c r="B18" s="31">
        <v>100000</v>
      </c>
      <c r="C18" s="31">
        <v>104000</v>
      </c>
      <c r="D18" s="31">
        <v>108160.00000000001</v>
      </c>
      <c r="E18" s="31">
        <v>112486.40000000001</v>
      </c>
      <c r="F18" s="31">
        <v>116985.85600000001</v>
      </c>
    </row>
    <row r="19" spans="1:7" customFormat="1" ht="15" customHeight="1" x14ac:dyDescent="0.25">
      <c r="A19" t="s">
        <v>45</v>
      </c>
      <c r="B19" s="31">
        <v>50000</v>
      </c>
      <c r="C19" s="31">
        <v>52000</v>
      </c>
      <c r="D19" s="31">
        <v>54080.000000000007</v>
      </c>
      <c r="E19" s="31">
        <v>56243.200000000004</v>
      </c>
      <c r="F19" s="31">
        <v>58492.928000000007</v>
      </c>
    </row>
    <row r="20" spans="1:7" customFormat="1" ht="15" customHeight="1" x14ac:dyDescent="0.25">
      <c r="A20" t="s">
        <v>150</v>
      </c>
      <c r="B20" s="31">
        <v>40000</v>
      </c>
      <c r="C20" s="31">
        <v>41600</v>
      </c>
      <c r="D20" s="31">
        <v>43264.000000000007</v>
      </c>
      <c r="E20" s="31">
        <v>44994.560000000005</v>
      </c>
      <c r="F20" s="31">
        <v>46794.342400000009</v>
      </c>
    </row>
    <row r="21" spans="1:7" customFormat="1" ht="15" customHeight="1" thickBot="1" x14ac:dyDescent="0.3">
      <c r="A21" s="32" t="s">
        <v>46</v>
      </c>
      <c r="B21" s="30">
        <f xml:space="preserve"> SUM(B15:B20)</f>
        <v>1140000</v>
      </c>
      <c r="C21" s="30">
        <f t="shared" ref="C21:F21" si="3">SUM(C15:C20)</f>
        <v>1185600</v>
      </c>
      <c r="D21" s="30">
        <f t="shared" si="3"/>
        <v>1233024.0000000002</v>
      </c>
      <c r="E21" s="30">
        <f t="shared" si="3"/>
        <v>1282344.96</v>
      </c>
      <c r="F21" s="30">
        <f t="shared" si="3"/>
        <v>1333638.7584000002</v>
      </c>
    </row>
    <row r="22" spans="1:7" customFormat="1" ht="15" customHeight="1" thickTop="1" x14ac:dyDescent="0.25">
      <c r="B22" s="31"/>
      <c r="C22" s="31"/>
      <c r="D22" s="31"/>
      <c r="E22" s="31"/>
      <c r="F22" s="31"/>
    </row>
    <row r="23" spans="1:7" customFormat="1" ht="17.25" x14ac:dyDescent="0.25">
      <c r="A23" s="82" t="s">
        <v>47</v>
      </c>
      <c r="B23" s="85" t="s">
        <v>35</v>
      </c>
      <c r="C23" s="85" t="s">
        <v>36</v>
      </c>
      <c r="D23" s="85" t="s">
        <v>37</v>
      </c>
      <c r="E23" s="85" t="s">
        <v>38</v>
      </c>
      <c r="F23" s="85" t="s">
        <v>39</v>
      </c>
    </row>
    <row r="24" spans="1:7" customFormat="1" ht="15" customHeight="1" x14ac:dyDescent="0.25">
      <c r="A24" s="33" t="s">
        <v>48</v>
      </c>
      <c r="B24" s="27">
        <f xml:space="preserve"> B12 -B21</f>
        <v>359999.99999999953</v>
      </c>
      <c r="C24" s="27">
        <f t="shared" ref="C24:F24" si="4" xml:space="preserve"> C12 -C21</f>
        <v>700550.14452440292</v>
      </c>
      <c r="D24" s="27">
        <f t="shared" si="4"/>
        <v>1138684.2451262849</v>
      </c>
      <c r="E24" s="27">
        <f t="shared" si="4"/>
        <v>1699920.272876441</v>
      </c>
      <c r="F24" s="27">
        <f t="shared" si="4"/>
        <v>2416361.2416000017</v>
      </c>
    </row>
    <row r="25" spans="1:7" customFormat="1" ht="15" customHeight="1" x14ac:dyDescent="0.25">
      <c r="A25" s="6" t="s">
        <v>49</v>
      </c>
      <c r="B25" s="28">
        <f>Depreciation!B16</f>
        <v>78000</v>
      </c>
      <c r="C25" s="28">
        <f>Depreciation!C16</f>
        <v>69888</v>
      </c>
      <c r="D25" s="28">
        <f>Depreciation!D16</f>
        <v>62619.647999999994</v>
      </c>
      <c r="E25" s="28">
        <f>Depreciation!E16</f>
        <v>56107.204607999993</v>
      </c>
      <c r="F25" s="28">
        <f>Depreciation!F16</f>
        <v>50272.055328767994</v>
      </c>
    </row>
    <row r="26" spans="1:7" customFormat="1" ht="15" customHeight="1" x14ac:dyDescent="0.25">
      <c r="A26" s="13" t="s">
        <v>50</v>
      </c>
      <c r="B26" s="34">
        <f xml:space="preserve"> B24-B25</f>
        <v>281999.99999999953</v>
      </c>
      <c r="C26" s="34">
        <f t="shared" ref="C26:F26" si="5" xml:space="preserve"> C24-C25</f>
        <v>630662.14452440292</v>
      </c>
      <c r="D26" s="34">
        <f t="shared" si="5"/>
        <v>1076064.5971262848</v>
      </c>
      <c r="E26" s="34">
        <f t="shared" si="5"/>
        <v>1643813.0682684411</v>
      </c>
      <c r="F26" s="34">
        <f t="shared" si="5"/>
        <v>2366089.1862712335</v>
      </c>
    </row>
    <row r="27" spans="1:7" customFormat="1" ht="15" customHeight="1" x14ac:dyDescent="0.25">
      <c r="B27" s="31"/>
      <c r="C27" s="31"/>
      <c r="D27" s="31"/>
      <c r="E27" s="31"/>
      <c r="F27" s="31"/>
      <c r="G27" s="21"/>
    </row>
    <row r="28" spans="1:7" customFormat="1" ht="15" customHeight="1" x14ac:dyDescent="0.25">
      <c r="A28" s="6" t="s">
        <v>51</v>
      </c>
      <c r="B28" s="28">
        <f>-'Loan Schedule'!B36</f>
        <v>93743.767277774663</v>
      </c>
      <c r="C28" s="28">
        <f>-'Loan Schedule'!C36</f>
        <v>76264.866633124766</v>
      </c>
      <c r="D28" s="28">
        <f>-'Loan Schedule'!D36</f>
        <v>57345.142453910958</v>
      </c>
      <c r="E28" s="28">
        <f>-'Loan Schedule'!E36</f>
        <v>36865.824544000381</v>
      </c>
      <c r="F28" s="28">
        <f>-'Loan Schedule'!F36</f>
        <v>14698.352223449096</v>
      </c>
      <c r="G28" s="21"/>
    </row>
    <row r="29" spans="1:7" customFormat="1" ht="15" customHeight="1" x14ac:dyDescent="0.25">
      <c r="A29" s="13" t="s">
        <v>52</v>
      </c>
      <c r="B29" s="34">
        <f xml:space="preserve"> B26-B28</f>
        <v>188256.23272222487</v>
      </c>
      <c r="C29" s="34">
        <f t="shared" ref="C29:F29" si="6" xml:space="preserve"> C26-C28</f>
        <v>554397.27789127815</v>
      </c>
      <c r="D29" s="34">
        <f t="shared" si="6"/>
        <v>1018719.4546723738</v>
      </c>
      <c r="E29" s="34">
        <f t="shared" si="6"/>
        <v>1606947.2437244407</v>
      </c>
      <c r="F29" s="34">
        <f t="shared" si="6"/>
        <v>2351390.8340477846</v>
      </c>
      <c r="G29" s="21"/>
    </row>
    <row r="30" spans="1:7" customFormat="1" ht="15" customHeight="1" x14ac:dyDescent="0.25">
      <c r="B30" s="31"/>
      <c r="C30" s="31"/>
      <c r="D30" s="31"/>
      <c r="E30" s="31"/>
      <c r="F30" s="31"/>
    </row>
    <row r="31" spans="1:7" customFormat="1" ht="15" customHeight="1" x14ac:dyDescent="0.25">
      <c r="A31" s="6" t="s">
        <v>53</v>
      </c>
      <c r="B31" s="28">
        <f xml:space="preserve"> IF(B29 &gt; 0, B29*$F$5, 0)</f>
        <v>56476.869816667459</v>
      </c>
      <c r="C31" s="28">
        <f t="shared" ref="C31:F31" si="7" xml:space="preserve"> IF(C29 &gt; 0, C29*$F$5, 0)</f>
        <v>166319.18336738343</v>
      </c>
      <c r="D31" s="28">
        <f t="shared" si="7"/>
        <v>305615.83640171215</v>
      </c>
      <c r="E31" s="28">
        <f t="shared" si="7"/>
        <v>482084.17311733216</v>
      </c>
      <c r="F31" s="28">
        <f t="shared" si="7"/>
        <v>705417.25021433539</v>
      </c>
    </row>
    <row r="32" spans="1:7" customFormat="1" ht="15" customHeight="1" x14ac:dyDescent="0.25">
      <c r="A32" s="13" t="s">
        <v>54</v>
      </c>
      <c r="B32" s="35">
        <f xml:space="preserve"> B29-B31</f>
        <v>131779.36290555741</v>
      </c>
      <c r="C32" s="35">
        <f t="shared" ref="C32:F32" si="8" xml:space="preserve"> C29-C31</f>
        <v>388078.09452389472</v>
      </c>
      <c r="D32" s="35">
        <f t="shared" si="8"/>
        <v>713103.61827066168</v>
      </c>
      <c r="E32" s="35">
        <f t="shared" si="8"/>
        <v>1124863.0706071085</v>
      </c>
      <c r="F32" s="35">
        <f t="shared" si="8"/>
        <v>1645973.5838334491</v>
      </c>
    </row>
    <row r="33" spans="1:8" customFormat="1" ht="15" customHeight="1" x14ac:dyDescent="0.25"/>
    <row r="34" spans="1:8" customFormat="1" ht="15" customHeight="1" x14ac:dyDescent="0.25">
      <c r="A34" s="6" t="s">
        <v>207</v>
      </c>
      <c r="B34" s="7">
        <f xml:space="preserve"> IF(B32 &gt; 0, B32*$F$6, 0)</f>
        <v>43487.189758833949</v>
      </c>
      <c r="C34" s="7">
        <f t="shared" ref="C34:F34" si="9" xml:space="preserve"> IF(C32 &gt; 0, C32*$F$6, 0)</f>
        <v>128065.77119288527</v>
      </c>
      <c r="D34" s="7">
        <f t="shared" si="9"/>
        <v>235324.19402931837</v>
      </c>
      <c r="E34" s="7">
        <f t="shared" si="9"/>
        <v>371204.81330034585</v>
      </c>
      <c r="F34" s="7">
        <f t="shared" si="9"/>
        <v>543171.28266503825</v>
      </c>
      <c r="H34" s="108"/>
    </row>
    <row r="35" spans="1:8" customFormat="1" ht="15" customHeight="1" x14ac:dyDescent="0.25"/>
    <row r="36" spans="1:8" customFormat="1" ht="15" customHeight="1" thickBot="1" x14ac:dyDescent="0.3">
      <c r="A36" s="36" t="s">
        <v>55</v>
      </c>
      <c r="B36" s="37">
        <f xml:space="preserve"> B32-B34</f>
        <v>88292.173146723464</v>
      </c>
      <c r="C36" s="37">
        <f t="shared" ref="C36:F36" si="10" xml:space="preserve"> C32-C34</f>
        <v>260012.32333100945</v>
      </c>
      <c r="D36" s="37">
        <f t="shared" si="10"/>
        <v>477779.42424134328</v>
      </c>
      <c r="E36" s="37">
        <f t="shared" si="10"/>
        <v>753658.25730676274</v>
      </c>
      <c r="F36" s="37">
        <f t="shared" si="10"/>
        <v>1102802.3011684108</v>
      </c>
    </row>
    <row r="37" spans="1:8" customFormat="1" ht="15" customHeight="1" thickTop="1" x14ac:dyDescent="0.25">
      <c r="B37" s="38"/>
      <c r="C37" s="38"/>
      <c r="D37" s="38"/>
      <c r="E37" s="38"/>
      <c r="F37" s="38"/>
    </row>
    <row r="38" spans="1:8" customFormat="1" ht="15" customHeight="1" x14ac:dyDescent="0.25">
      <c r="B38" s="10"/>
      <c r="C38" s="10"/>
      <c r="D38" s="10"/>
      <c r="E38" s="10"/>
      <c r="F38" s="10"/>
    </row>
    <row r="39" spans="1:8" customFormat="1" ht="15" customHeight="1" x14ac:dyDescent="0.25">
      <c r="B39" s="10"/>
      <c r="C39" s="10"/>
      <c r="D39" s="10"/>
      <c r="E39" s="10"/>
      <c r="F39" s="10"/>
    </row>
    <row r="40" spans="1:8" customFormat="1" ht="15" customHeight="1" x14ac:dyDescent="0.25">
      <c r="B40" s="10"/>
      <c r="C40" s="10"/>
      <c r="D40" s="10"/>
      <c r="E40" s="10"/>
      <c r="F40" s="10"/>
    </row>
    <row r="41" spans="1:8" customFormat="1" ht="15" customHeight="1" x14ac:dyDescent="0.25">
      <c r="B41" s="10"/>
      <c r="C41" s="10"/>
      <c r="D41" s="10"/>
      <c r="E41" s="10"/>
      <c r="F41" s="10"/>
    </row>
    <row r="42" spans="1:8" customFormat="1" ht="15" customHeight="1" x14ac:dyDescent="0.25">
      <c r="B42" s="10"/>
      <c r="C42" s="10"/>
      <c r="D42" s="10"/>
      <c r="E42" s="10"/>
      <c r="F42" s="10"/>
    </row>
    <row r="43" spans="1:8" customFormat="1" ht="15" customHeight="1" x14ac:dyDescent="0.25">
      <c r="B43" s="10"/>
      <c r="C43" s="10"/>
      <c r="D43" s="10"/>
      <c r="E43" s="10"/>
      <c r="F43" s="10"/>
    </row>
    <row r="44" spans="1:8" customFormat="1" ht="15" customHeight="1" x14ac:dyDescent="0.25">
      <c r="B44" s="10"/>
      <c r="C44" s="10"/>
      <c r="D44" s="10"/>
      <c r="E44" s="10"/>
      <c r="F44" s="10"/>
    </row>
    <row r="45" spans="1:8" customFormat="1" ht="15" customHeight="1" x14ac:dyDescent="0.25">
      <c r="B45" s="5"/>
      <c r="C45" s="5"/>
      <c r="D45" s="5"/>
      <c r="E45" s="5"/>
      <c r="F45" s="5"/>
    </row>
    <row r="46" spans="1:8" customFormat="1" ht="15" customHeight="1" x14ac:dyDescent="0.25">
      <c r="B46" s="5"/>
      <c r="C46" s="5"/>
      <c r="D46" s="5"/>
      <c r="E46" s="5"/>
      <c r="F46" s="5"/>
    </row>
    <row r="47" spans="1:8" customFormat="1" ht="15" customHeight="1" x14ac:dyDescent="0.25">
      <c r="B47" s="5"/>
      <c r="C47" s="5"/>
      <c r="D47" s="5"/>
      <c r="E47" s="5"/>
      <c r="F47" s="5"/>
    </row>
    <row r="48" spans="1:8" customFormat="1" ht="15" customHeight="1" x14ac:dyDescent="0.25">
      <c r="B48" s="5"/>
      <c r="C48" s="5"/>
      <c r="D48" s="5"/>
      <c r="E48" s="5"/>
      <c r="F48" s="5"/>
    </row>
    <row r="49" spans="2:6" customFormat="1" ht="15" customHeight="1" x14ac:dyDescent="0.25">
      <c r="B49" s="5"/>
      <c r="C49" s="5"/>
      <c r="D49" s="5"/>
      <c r="E49" s="5"/>
      <c r="F49" s="5"/>
    </row>
    <row r="50" spans="2:6" customFormat="1" ht="15" customHeight="1" x14ac:dyDescent="0.25">
      <c r="B50" s="5"/>
      <c r="C50" s="5"/>
      <c r="D50" s="5"/>
      <c r="E50" s="5"/>
      <c r="F50" s="5"/>
    </row>
    <row r="51" spans="2:6" customFormat="1" ht="15" customHeight="1" x14ac:dyDescent="0.25"/>
    <row r="52" spans="2:6" customFormat="1" ht="15" customHeight="1" x14ac:dyDescent="0.25"/>
    <row r="53" spans="2:6" customFormat="1" ht="15" customHeight="1" x14ac:dyDescent="0.25"/>
    <row r="54" spans="2:6" customFormat="1" ht="15" customHeight="1" x14ac:dyDescent="0.25"/>
    <row r="55" spans="2:6" customFormat="1" ht="15" customHeight="1" x14ac:dyDescent="0.25"/>
    <row r="56" spans="2:6" customFormat="1" ht="15" customHeight="1" x14ac:dyDescent="0.25"/>
    <row r="57" spans="2:6" customFormat="1" ht="15" customHeight="1" x14ac:dyDescent="0.25"/>
    <row r="58" spans="2:6" customFormat="1" ht="15" customHeight="1" x14ac:dyDescent="0.25"/>
    <row r="59" spans="2:6" customFormat="1" ht="15" customHeight="1" x14ac:dyDescent="0.25"/>
    <row r="60" spans="2:6" customFormat="1" ht="15" customHeight="1" x14ac:dyDescent="0.25"/>
    <row r="61" spans="2:6" customFormat="1" ht="15" customHeight="1" x14ac:dyDescent="0.25"/>
    <row r="62" spans="2:6" customFormat="1" ht="15" customHeight="1" x14ac:dyDescent="0.25"/>
    <row r="63" spans="2:6" customFormat="1" ht="15" customHeight="1" x14ac:dyDescent="0.25"/>
    <row r="64" spans="2:6" customFormat="1" ht="15" customHeight="1" x14ac:dyDescent="0.25"/>
    <row r="65" customFormat="1" ht="15" customHeight="1" x14ac:dyDescent="0.25"/>
    <row r="66" customFormat="1" ht="15" customHeight="1" x14ac:dyDescent="0.25"/>
    <row r="67" customFormat="1" ht="15" customHeight="1" x14ac:dyDescent="0.25"/>
    <row r="68" customFormat="1" ht="15" customHeight="1" x14ac:dyDescent="0.25"/>
    <row r="69" customFormat="1" ht="15" customHeight="1" x14ac:dyDescent="0.25"/>
    <row r="70" customFormat="1" ht="15" customHeight="1" x14ac:dyDescent="0.25"/>
    <row r="71" customFormat="1" ht="15" customHeight="1" x14ac:dyDescent="0.25"/>
    <row r="72" customFormat="1" ht="15" customHeight="1" x14ac:dyDescent="0.25"/>
    <row r="73" customFormat="1" ht="15" customHeight="1" x14ac:dyDescent="0.25"/>
    <row r="74" customFormat="1" ht="15" customHeight="1" x14ac:dyDescent="0.25"/>
    <row r="75" customFormat="1" ht="15" customHeight="1" x14ac:dyDescent="0.25"/>
    <row r="76" customFormat="1" ht="15" customHeight="1" x14ac:dyDescent="0.25"/>
    <row r="77" customFormat="1" ht="15" customHeight="1" x14ac:dyDescent="0.25"/>
    <row r="78" customFormat="1" ht="15" customHeight="1" x14ac:dyDescent="0.25"/>
    <row r="79" customFormat="1" ht="15" customHeight="1" x14ac:dyDescent="0.25"/>
    <row r="80" customFormat="1" ht="15" customHeight="1" x14ac:dyDescent="0.25"/>
    <row r="81" customFormat="1" ht="15" customHeight="1" x14ac:dyDescent="0.25"/>
    <row r="82" customFormat="1" ht="15" customHeight="1" x14ac:dyDescent="0.25"/>
    <row r="83" customFormat="1" ht="15" customHeight="1" x14ac:dyDescent="0.25"/>
    <row r="84" customFormat="1" ht="15" customHeight="1" x14ac:dyDescent="0.25"/>
    <row r="85" customFormat="1" ht="15" customHeight="1" x14ac:dyDescent="0.25"/>
    <row r="86" customFormat="1" ht="15" customHeight="1" x14ac:dyDescent="0.25"/>
    <row r="87" customFormat="1" ht="15" customHeight="1" x14ac:dyDescent="0.25"/>
    <row r="88" customFormat="1" ht="15" customHeight="1" x14ac:dyDescent="0.25"/>
    <row r="89" customFormat="1" ht="15" customHeight="1" x14ac:dyDescent="0.25"/>
    <row r="90" customFormat="1" ht="15" customHeigh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</sheetData>
  <dataValidations count="1">
    <dataValidation allowBlank="1" error="pavI8MeUFtEyxX2I4tkya5338ed7-b54d-4d25-ba7f-a8c51be90444" sqref="A1:H155" xr:uid="{00000000-0002-0000-0200-000000000000}"/>
  </dataValidations>
  <pageMargins left="0.7" right="0.7" top="0.75" bottom="0.75" header="0.3" footer="0.3"/>
  <pageSetup scale="86" orientation="portrait" r:id="rId1"/>
  <headerFooter>
    <oddFooter>&amp;R&amp;F &amp;A &amp;D</oddFooter>
  </headerFooter>
  <cellWatches>
    <cellWatch r="F36"/>
  </cellWatch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E7E05-E76D-421F-87F7-5F162377157B}">
  <sheetPr>
    <pageSetUpPr fitToPage="1"/>
  </sheetPr>
  <dimension ref="A1:F112"/>
  <sheetViews>
    <sheetView topLeftCell="A22" zoomScaleNormal="100" workbookViewId="0">
      <selection activeCell="F25" sqref="F25"/>
    </sheetView>
  </sheetViews>
  <sheetFormatPr defaultColWidth="9.140625" defaultRowHeight="15" x14ac:dyDescent="0.25"/>
  <cols>
    <col min="1" max="1" width="36" style="25" customWidth="1"/>
    <col min="2" max="6" width="13.7109375" style="25" customWidth="1"/>
    <col min="7" max="16384" width="9.140625" style="25"/>
  </cols>
  <sheetData>
    <row r="1" spans="1:6" s="3" customFormat="1" ht="42.75" x14ac:dyDescent="0.75">
      <c r="A1" s="1" t="s">
        <v>203</v>
      </c>
    </row>
    <row r="2" spans="1:6" s="3" customFormat="1" ht="18.75" x14ac:dyDescent="0.3">
      <c r="A2" s="106" t="s">
        <v>56</v>
      </c>
    </row>
    <row r="4" spans="1:6" customFormat="1" ht="17.25" x14ac:dyDescent="0.25">
      <c r="A4" s="82" t="s">
        <v>57</v>
      </c>
      <c r="B4" s="85" t="s">
        <v>35</v>
      </c>
      <c r="C4" s="85" t="s">
        <v>36</v>
      </c>
      <c r="D4" s="85" t="s">
        <v>37</v>
      </c>
      <c r="E4" s="85" t="s">
        <v>38</v>
      </c>
      <c r="F4" s="85" t="s">
        <v>39</v>
      </c>
    </row>
    <row r="5" spans="1:6" customFormat="1" x14ac:dyDescent="0.25">
      <c r="A5" s="83" t="s">
        <v>58</v>
      </c>
      <c r="D5" s="85" t="s">
        <v>38</v>
      </c>
    </row>
    <row r="6" spans="1:6" customFormat="1" x14ac:dyDescent="0.25">
      <c r="A6" t="s">
        <v>6</v>
      </c>
      <c r="B6" s="5">
        <f>'Cash Flow'!B22</f>
        <v>804252.34979804617</v>
      </c>
      <c r="C6" s="5">
        <f>'Cash Flow'!C22</f>
        <v>904633.94913572841</v>
      </c>
      <c r="D6" s="5">
        <f>'Cash Flow'!D22</f>
        <v>1196594.5732045306</v>
      </c>
      <c r="E6" s="5">
        <f>'Cash Flow'!E22</f>
        <v>1737442.2690368416</v>
      </c>
      <c r="F6" s="5">
        <f>'Cash Flow'!F22</f>
        <v>2599431.3871310176</v>
      </c>
    </row>
    <row r="7" spans="1:6" customFormat="1" x14ac:dyDescent="0.25">
      <c r="A7" t="s">
        <v>59</v>
      </c>
      <c r="B7" s="5">
        <v>0</v>
      </c>
      <c r="C7" s="5">
        <v>0</v>
      </c>
      <c r="D7" s="5">
        <v>0</v>
      </c>
      <c r="E7" s="5">
        <v>0</v>
      </c>
      <c r="F7" s="5">
        <v>0</v>
      </c>
    </row>
    <row r="8" spans="1:6" customFormat="1" x14ac:dyDescent="0.25">
      <c r="A8" t="s">
        <v>60</v>
      </c>
      <c r="B8" s="5">
        <v>0</v>
      </c>
      <c r="C8" s="5">
        <v>0</v>
      </c>
      <c r="D8" s="5">
        <v>0</v>
      </c>
      <c r="E8" s="5">
        <v>0</v>
      </c>
      <c r="F8" s="5">
        <v>0</v>
      </c>
    </row>
    <row r="9" spans="1:6" customFormat="1" x14ac:dyDescent="0.25">
      <c r="A9" s="39" t="s">
        <v>61</v>
      </c>
      <c r="B9" s="40">
        <f>SUM(B6:B8)</f>
        <v>804252.34979804617</v>
      </c>
      <c r="C9" s="40">
        <f>SUM(C6:C8)</f>
        <v>904633.94913572841</v>
      </c>
      <c r="D9" s="40">
        <f>SUM(D6:D8)</f>
        <v>1196594.5732045306</v>
      </c>
      <c r="E9" s="40">
        <f>SUM(E6:E8)</f>
        <v>1737442.2690368416</v>
      </c>
      <c r="F9" s="40">
        <f>SUM(F6:F8)</f>
        <v>2599431.3871310176</v>
      </c>
    </row>
    <row r="10" spans="1:6" customFormat="1" x14ac:dyDescent="0.25"/>
    <row r="11" spans="1:6" customFormat="1" x14ac:dyDescent="0.25">
      <c r="A11" s="83" t="s">
        <v>62</v>
      </c>
    </row>
    <row r="12" spans="1:6" customFormat="1" x14ac:dyDescent="0.25">
      <c r="A12" t="s">
        <v>7</v>
      </c>
      <c r="B12" s="5">
        <f>Startup!$B$11</f>
        <v>300000</v>
      </c>
      <c r="C12" s="5">
        <f>Startup!$B$11</f>
        <v>300000</v>
      </c>
      <c r="D12" s="5">
        <f>Startup!$B$11</f>
        <v>300000</v>
      </c>
      <c r="E12" s="5">
        <f>Startup!$B$11</f>
        <v>300000</v>
      </c>
      <c r="F12" s="5">
        <f>Startup!$B$11</f>
        <v>300000</v>
      </c>
    </row>
    <row r="13" spans="1:6" customFormat="1" x14ac:dyDescent="0.25">
      <c r="A13" t="s">
        <v>8</v>
      </c>
      <c r="B13" s="5">
        <f>Startup!$B$12</f>
        <v>250000</v>
      </c>
      <c r="C13" s="5">
        <f>Startup!$B$12</f>
        <v>250000</v>
      </c>
      <c r="D13" s="5">
        <f>Startup!$B$12</f>
        <v>250000</v>
      </c>
      <c r="E13" s="5">
        <f>Startup!$B$12</f>
        <v>250000</v>
      </c>
      <c r="F13" s="5">
        <f>Startup!$B$12</f>
        <v>250000</v>
      </c>
    </row>
    <row r="14" spans="1:6" customFormat="1" x14ac:dyDescent="0.25">
      <c r="A14" s="6" t="s">
        <v>9</v>
      </c>
      <c r="B14" s="7">
        <f>Startup!$B$13</f>
        <v>750000</v>
      </c>
      <c r="C14" s="7">
        <f>Startup!$B$13</f>
        <v>750000</v>
      </c>
      <c r="D14" s="7">
        <f>Startup!$B$13</f>
        <v>750000</v>
      </c>
      <c r="E14" s="7">
        <f>Startup!$B$13</f>
        <v>750000</v>
      </c>
      <c r="F14" s="7">
        <f>Startup!$B$13</f>
        <v>750000</v>
      </c>
    </row>
    <row r="15" spans="1:6" customFormat="1" x14ac:dyDescent="0.25">
      <c r="A15" t="s">
        <v>63</v>
      </c>
      <c r="B15" s="5">
        <f>-Depreciation!B17</f>
        <v>-78000</v>
      </c>
      <c r="C15" s="5">
        <f>-Depreciation!C17</f>
        <v>-147888</v>
      </c>
      <c r="D15" s="5">
        <f>-Depreciation!D17</f>
        <v>-210507.64799999999</v>
      </c>
      <c r="E15" s="5">
        <f>-Depreciation!E17</f>
        <v>-266614.85260799999</v>
      </c>
      <c r="F15" s="5">
        <f>-Depreciation!F17</f>
        <v>-316886.90793676797</v>
      </c>
    </row>
    <row r="16" spans="1:6" customFormat="1" x14ac:dyDescent="0.25">
      <c r="A16" s="39" t="s">
        <v>64</v>
      </c>
      <c r="B16" s="40">
        <f>SUM(B12:B15)</f>
        <v>1222000</v>
      </c>
      <c r="C16" s="40">
        <f>SUM(C12:C15)</f>
        <v>1152112</v>
      </c>
      <c r="D16" s="40">
        <f>SUM(D12:D15)</f>
        <v>1089492.352</v>
      </c>
      <c r="E16" s="40">
        <f>SUM(E12:E15)</f>
        <v>1033385.1473920001</v>
      </c>
      <c r="F16" s="40">
        <f>SUM(F12:F15)</f>
        <v>983113.09206323209</v>
      </c>
    </row>
    <row r="17" spans="1:6" customFormat="1" x14ac:dyDescent="0.25"/>
    <row r="18" spans="1:6" customFormat="1" ht="15.75" thickBot="1" x14ac:dyDescent="0.3">
      <c r="A18" s="23" t="s">
        <v>65</v>
      </c>
      <c r="B18" s="41">
        <f>B9+B16</f>
        <v>2026252.3497980461</v>
      </c>
      <c r="C18" s="41">
        <f>C9+C16</f>
        <v>2056745.9491357284</v>
      </c>
      <c r="D18" s="41">
        <f>D9+D16</f>
        <v>2286086.9252045304</v>
      </c>
      <c r="E18" s="41">
        <f>E9+E16</f>
        <v>2770827.4164288417</v>
      </c>
      <c r="F18" s="41">
        <f>F9+F16</f>
        <v>3582544.47919425</v>
      </c>
    </row>
    <row r="19" spans="1:6" customFormat="1" ht="15.75" thickTop="1" x14ac:dyDescent="0.25"/>
    <row r="20" spans="1:6" customFormat="1" ht="17.25" x14ac:dyDescent="0.25">
      <c r="A20" s="82" t="s">
        <v>66</v>
      </c>
      <c r="B20" s="85" t="s">
        <v>35</v>
      </c>
      <c r="C20" s="85" t="s">
        <v>36</v>
      </c>
      <c r="D20" s="85" t="s">
        <v>37</v>
      </c>
      <c r="E20" s="85" t="s">
        <v>38</v>
      </c>
      <c r="F20" s="85" t="s">
        <v>39</v>
      </c>
    </row>
    <row r="21" spans="1:6" customFormat="1" x14ac:dyDescent="0.25">
      <c r="A21" s="83" t="s">
        <v>67</v>
      </c>
    </row>
    <row r="22" spans="1:6" customFormat="1" x14ac:dyDescent="0.25">
      <c r="A22" s="39" t="s">
        <v>68</v>
      </c>
      <c r="B22" s="40">
        <v>0</v>
      </c>
      <c r="C22" s="40">
        <v>0</v>
      </c>
      <c r="D22" s="40">
        <v>0</v>
      </c>
      <c r="E22" s="40">
        <v>0</v>
      </c>
      <c r="F22" s="40">
        <v>0</v>
      </c>
    </row>
    <row r="23" spans="1:6" customFormat="1" x14ac:dyDescent="0.25"/>
    <row r="24" spans="1:6" customFormat="1" x14ac:dyDescent="0.25">
      <c r="A24" s="83" t="s">
        <v>69</v>
      </c>
    </row>
    <row r="25" spans="1:6" customFormat="1" x14ac:dyDescent="0.25">
      <c r="A25" s="39" t="s">
        <v>70</v>
      </c>
      <c r="B25" s="40">
        <f>'Loan Schedule'!B38</f>
        <v>1037960.1766513226</v>
      </c>
      <c r="C25" s="40">
        <f>'Loan Schedule'!C38</f>
        <v>808441.4526579954</v>
      </c>
      <c r="D25" s="40">
        <f>'Loan Schedule'!D38</f>
        <v>560003.00448545441</v>
      </c>
      <c r="E25" s="40">
        <f>'Loan Schedule'!E38</f>
        <v>291085.23840300279</v>
      </c>
      <c r="F25" s="40">
        <f>'Loan Schedule'!F38</f>
        <v>0</v>
      </c>
    </row>
    <row r="26" spans="1:6" customFormat="1" x14ac:dyDescent="0.25"/>
    <row r="27" spans="1:6" customFormat="1" x14ac:dyDescent="0.25">
      <c r="A27" s="83" t="s">
        <v>71</v>
      </c>
    </row>
    <row r="28" spans="1:6" customFormat="1" x14ac:dyDescent="0.25">
      <c r="A28" t="s">
        <v>72</v>
      </c>
      <c r="B28" s="10">
        <f>Startup!$B$33</f>
        <v>3000000</v>
      </c>
      <c r="C28" s="10">
        <f>Startup!$B$33</f>
        <v>3000000</v>
      </c>
      <c r="D28" s="10">
        <f>Startup!$B$33</f>
        <v>3000000</v>
      </c>
      <c r="E28" s="10">
        <f>Startup!$B$33</f>
        <v>3000000</v>
      </c>
      <c r="F28" s="10">
        <f>Startup!$B$33</f>
        <v>3000000</v>
      </c>
    </row>
    <row r="29" spans="1:6" customFormat="1" x14ac:dyDescent="0.25">
      <c r="A29" t="s">
        <v>73</v>
      </c>
      <c r="B29" s="5">
        <f>-Startup!$B$8</f>
        <v>-2100000</v>
      </c>
      <c r="C29" s="5">
        <f>-Startup!$B$8</f>
        <v>-2100000</v>
      </c>
      <c r="D29" s="5">
        <f>-Startup!$B$8</f>
        <v>-2100000</v>
      </c>
      <c r="E29" s="5">
        <f>-Startup!$B$8</f>
        <v>-2100000</v>
      </c>
      <c r="F29" s="5">
        <f>-Startup!$B$8</f>
        <v>-2100000</v>
      </c>
    </row>
    <row r="30" spans="1:6" customFormat="1" x14ac:dyDescent="0.25">
      <c r="A30" t="s">
        <v>74</v>
      </c>
      <c r="B30" s="5">
        <f>'Income Statement'!B36</f>
        <v>88292.173146723464</v>
      </c>
      <c r="C30" s="5">
        <f>B30+'Income Statement'!C36</f>
        <v>348304.4964777329</v>
      </c>
      <c r="D30" s="5">
        <f>C30+'Income Statement'!D36</f>
        <v>826083.92071907618</v>
      </c>
      <c r="E30" s="5">
        <f>D30+'Income Statement'!E36</f>
        <v>1579742.1780258389</v>
      </c>
      <c r="F30" s="5">
        <f>E30+'Income Statement'!F36</f>
        <v>2682544.47919425</v>
      </c>
    </row>
    <row r="31" spans="1:6" customFormat="1" x14ac:dyDescent="0.25">
      <c r="A31" s="39" t="s">
        <v>75</v>
      </c>
      <c r="B31" s="40">
        <f>SUM(B28:B30)</f>
        <v>988292.17314672342</v>
      </c>
      <c r="C31" s="40">
        <f>SUM(C28:C30)</f>
        <v>1248304.4964777329</v>
      </c>
      <c r="D31" s="40">
        <f>SUM(D28:D30)</f>
        <v>1726083.9207190762</v>
      </c>
      <c r="E31" s="40">
        <f>SUM(E28:E30)</f>
        <v>2479742.1780258389</v>
      </c>
      <c r="F31" s="40">
        <f>SUM(F28:F30)</f>
        <v>3582544.47919425</v>
      </c>
    </row>
    <row r="32" spans="1:6" customFormat="1" x14ac:dyDescent="0.25"/>
    <row r="33" spans="1:6" customFormat="1" ht="15.75" thickBot="1" x14ac:dyDescent="0.3">
      <c r="A33" s="23" t="s">
        <v>76</v>
      </c>
      <c r="B33" s="41">
        <f>B22+B25+B31</f>
        <v>2026252.3497980461</v>
      </c>
      <c r="C33" s="41">
        <f>C22+C25+C31</f>
        <v>2056745.9491357282</v>
      </c>
      <c r="D33" s="41">
        <f>D22+D25+D31</f>
        <v>2286086.9252045304</v>
      </c>
      <c r="E33" s="41">
        <f>E22+E25+E31</f>
        <v>2770827.4164288417</v>
      </c>
      <c r="F33" s="41">
        <f>F22+F25+F31</f>
        <v>3582544.47919425</v>
      </c>
    </row>
    <row r="34" spans="1:6" customFormat="1" ht="15.75" thickTop="1" x14ac:dyDescent="0.25"/>
    <row r="35" spans="1:6" customFormat="1" ht="15.75" thickBot="1" x14ac:dyDescent="0.3">
      <c r="A35" s="23" t="s">
        <v>77</v>
      </c>
      <c r="B35" s="41">
        <f>B18-B25</f>
        <v>988292.17314672342</v>
      </c>
      <c r="C35" s="41">
        <f>C18-C25</f>
        <v>1248304.4964777329</v>
      </c>
      <c r="D35" s="41">
        <f>D18-D25</f>
        <v>1726083.9207190759</v>
      </c>
      <c r="E35" s="41">
        <f>E18-E25</f>
        <v>2479742.1780258389</v>
      </c>
      <c r="F35" s="41">
        <f>F18-F25</f>
        <v>3582544.47919425</v>
      </c>
    </row>
    <row r="36" spans="1:6" customFormat="1" ht="15.75" thickTop="1" x14ac:dyDescent="0.25"/>
    <row r="37" spans="1:6" customFormat="1" x14ac:dyDescent="0.25"/>
    <row r="38" spans="1:6" customFormat="1" x14ac:dyDescent="0.25"/>
    <row r="39" spans="1:6" customFormat="1" x14ac:dyDescent="0.25"/>
    <row r="40" spans="1:6" customFormat="1" x14ac:dyDescent="0.25"/>
    <row r="41" spans="1:6" customFormat="1" x14ac:dyDescent="0.25"/>
    <row r="42" spans="1:6" customFormat="1" x14ac:dyDescent="0.25"/>
    <row r="43" spans="1:6" customFormat="1" x14ac:dyDescent="0.25"/>
    <row r="44" spans="1:6" customFormat="1" x14ac:dyDescent="0.25"/>
    <row r="45" spans="1:6" customFormat="1" x14ac:dyDescent="0.25"/>
    <row r="46" spans="1:6" customFormat="1" x14ac:dyDescent="0.25"/>
    <row r="47" spans="1:6" customFormat="1" x14ac:dyDescent="0.25"/>
    <row r="48" spans="1:6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</sheetData>
  <phoneticPr fontId="18" type="noConversion"/>
  <dataValidations count="1">
    <dataValidation allowBlank="1" error="pavI8MeUFtEyxX2I4tkya5338ed7-b54d-4d25-ba7f-a8c51be90444" sqref="A1:F112" xr:uid="{00000000-0002-0000-0300-000000000000}"/>
  </dataValidations>
  <pageMargins left="0.7" right="0.7" top="0.75" bottom="0.75" header="0.3" footer="0.3"/>
  <pageSetup scale="86" orientation="portrait" r:id="rId1"/>
  <headerFooter>
    <oddFooter>&amp;R&amp;F &amp;A &amp;D</oddFooter>
  </headerFooter>
  <cellWatches>
    <cellWatch r="F35"/>
  </cellWatch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D4B45-A349-4141-91B9-651FF1F19774}">
  <sheetPr>
    <pageSetUpPr fitToPage="1"/>
  </sheetPr>
  <dimension ref="A1:L156"/>
  <sheetViews>
    <sheetView topLeftCell="A7" zoomScale="110" zoomScaleNormal="110" workbookViewId="0">
      <selection activeCell="F22" sqref="F22"/>
    </sheetView>
  </sheetViews>
  <sheetFormatPr defaultColWidth="9.140625" defaultRowHeight="15" x14ac:dyDescent="0.25"/>
  <cols>
    <col min="1" max="1" width="34.85546875" style="25" customWidth="1"/>
    <col min="2" max="6" width="17" style="25" customWidth="1"/>
    <col min="7" max="7" width="9.140625" style="25"/>
    <col min="8" max="12" width="12.140625" style="25" customWidth="1"/>
    <col min="13" max="16384" width="9.140625" style="25"/>
  </cols>
  <sheetData>
    <row r="1" spans="1:12" s="3" customFormat="1" ht="42.75" x14ac:dyDescent="0.75">
      <c r="A1" s="1" t="s">
        <v>203</v>
      </c>
    </row>
    <row r="2" spans="1:12" s="3" customFormat="1" ht="18.75" x14ac:dyDescent="0.3">
      <c r="A2" s="106" t="s">
        <v>78</v>
      </c>
    </row>
    <row r="4" spans="1:12" customFormat="1" ht="17.25" x14ac:dyDescent="0.25">
      <c r="A4" s="82" t="s">
        <v>16</v>
      </c>
      <c r="B4" s="96">
        <f>Startup!B21</f>
        <v>850000</v>
      </c>
    </row>
    <row r="5" spans="1:12" customFormat="1" x14ac:dyDescent="0.25"/>
    <row r="6" spans="1:12" customFormat="1" ht="17.25" x14ac:dyDescent="0.25">
      <c r="A6" s="82" t="s">
        <v>79</v>
      </c>
      <c r="B6" s="85" t="s">
        <v>35</v>
      </c>
      <c r="C6" s="85" t="s">
        <v>36</v>
      </c>
      <c r="D6" s="85" t="s">
        <v>37</v>
      </c>
      <c r="E6" s="85" t="s">
        <v>38</v>
      </c>
      <c r="F6" s="85" t="s">
        <v>39</v>
      </c>
    </row>
    <row r="7" spans="1:12" customFormat="1" x14ac:dyDescent="0.25">
      <c r="A7" t="s">
        <v>50</v>
      </c>
      <c r="B7" s="16">
        <f>'Income Statement'!B26</f>
        <v>281999.99999999953</v>
      </c>
      <c r="C7" s="16">
        <f>'Income Statement'!C26</f>
        <v>630662.14452440292</v>
      </c>
      <c r="D7" s="16">
        <f>'Income Statement'!D26</f>
        <v>1076064.5971262848</v>
      </c>
      <c r="E7" s="16">
        <f>'Income Statement'!E26</f>
        <v>1643813.0682684411</v>
      </c>
      <c r="F7" s="16">
        <f>'Income Statement'!F26</f>
        <v>2366089.1862712335</v>
      </c>
    </row>
    <row r="8" spans="1:12" customFormat="1" x14ac:dyDescent="0.25">
      <c r="A8" t="s">
        <v>80</v>
      </c>
      <c r="B8" s="16">
        <f>'Income Statement'!B25</f>
        <v>78000</v>
      </c>
      <c r="C8" s="16">
        <f>'Income Statement'!C25</f>
        <v>69888</v>
      </c>
      <c r="D8" s="16">
        <f>'Income Statement'!D25</f>
        <v>62619.647999999994</v>
      </c>
      <c r="E8" s="16">
        <f>'Income Statement'!E25</f>
        <v>56107.204607999993</v>
      </c>
      <c r="F8" s="16">
        <f>'Income Statement'!F25</f>
        <v>50272.055328767994</v>
      </c>
    </row>
    <row r="9" spans="1:12" customFormat="1" x14ac:dyDescent="0.25">
      <c r="A9" t="s">
        <v>81</v>
      </c>
      <c r="B9" s="42">
        <v>0</v>
      </c>
      <c r="C9" s="42">
        <v>0</v>
      </c>
      <c r="D9" s="42">
        <v>0</v>
      </c>
      <c r="E9" s="42">
        <v>0</v>
      </c>
      <c r="F9" s="42">
        <v>0</v>
      </c>
    </row>
    <row r="10" spans="1:12" customFormat="1" x14ac:dyDescent="0.25">
      <c r="A10" t="s">
        <v>82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</row>
    <row r="11" spans="1:12" customFormat="1" x14ac:dyDescent="0.25">
      <c r="A11" t="s">
        <v>83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</row>
    <row r="12" spans="1:12" customFormat="1" x14ac:dyDescent="0.25">
      <c r="A12" s="39" t="s">
        <v>84</v>
      </c>
      <c r="B12" s="43">
        <f>SUM(B7:B11)</f>
        <v>359999.99999999953</v>
      </c>
      <c r="C12" s="43">
        <f t="shared" ref="C12:F12" si="0">SUM(C7:C11)</f>
        <v>700550.14452440292</v>
      </c>
      <c r="D12" s="43">
        <f t="shared" si="0"/>
        <v>1138684.2451262849</v>
      </c>
      <c r="E12" s="43">
        <f t="shared" si="0"/>
        <v>1699920.272876441</v>
      </c>
      <c r="F12" s="43">
        <f t="shared" si="0"/>
        <v>2416361.2416000017</v>
      </c>
    </row>
    <row r="13" spans="1:12" customFormat="1" x14ac:dyDescent="0.25"/>
    <row r="14" spans="1:12" customFormat="1" ht="17.25" x14ac:dyDescent="0.25">
      <c r="A14" s="82" t="s">
        <v>85</v>
      </c>
      <c r="B14" s="85" t="s">
        <v>35</v>
      </c>
      <c r="C14" s="85" t="s">
        <v>36</v>
      </c>
      <c r="D14" s="85" t="s">
        <v>37</v>
      </c>
      <c r="E14" s="85" t="s">
        <v>38</v>
      </c>
      <c r="F14" s="85" t="s">
        <v>39</v>
      </c>
    </row>
    <row r="15" spans="1:12" customFormat="1" x14ac:dyDescent="0.25">
      <c r="A15" t="s">
        <v>207</v>
      </c>
      <c r="B15" s="16">
        <f>'Income Statement'!B34</f>
        <v>43487.189758833949</v>
      </c>
      <c r="C15" s="16">
        <f>'Income Statement'!C34</f>
        <v>128065.77119288527</v>
      </c>
      <c r="D15" s="16">
        <f>'Income Statement'!D34</f>
        <v>235324.19402931837</v>
      </c>
      <c r="E15" s="16">
        <f>'Income Statement'!E34</f>
        <v>371204.81330034585</v>
      </c>
      <c r="F15" s="16">
        <f>'Income Statement'!F34</f>
        <v>543171.28266503825</v>
      </c>
      <c r="H15" s="21"/>
      <c r="I15" s="21"/>
      <c r="J15" s="21"/>
      <c r="K15" s="21"/>
      <c r="L15" s="21"/>
    </row>
    <row r="16" spans="1:12" customFormat="1" x14ac:dyDescent="0.25">
      <c r="A16" t="s">
        <v>86</v>
      </c>
      <c r="B16" s="16">
        <f>'Income Statement'!B31</f>
        <v>56476.869816667459</v>
      </c>
      <c r="C16" s="16">
        <f>'Income Statement'!C31</f>
        <v>166319.18336738343</v>
      </c>
      <c r="D16" s="16">
        <f>'Income Statement'!D31</f>
        <v>305615.83640171215</v>
      </c>
      <c r="E16" s="16">
        <f>'Income Statement'!E31</f>
        <v>482084.17311733216</v>
      </c>
      <c r="F16" s="16">
        <f>'Income Statement'!F31</f>
        <v>705417.25021433539</v>
      </c>
      <c r="H16" s="21"/>
      <c r="I16" s="21"/>
      <c r="J16" s="21"/>
      <c r="K16" s="21"/>
      <c r="L16" s="21"/>
    </row>
    <row r="17" spans="1:6" customFormat="1" x14ac:dyDescent="0.25">
      <c r="A17" t="s">
        <v>87</v>
      </c>
      <c r="B17" s="16">
        <f>-'Loan Schedule'!B36</f>
        <v>93743.767277774663</v>
      </c>
      <c r="C17" s="16">
        <f>-'Loan Schedule'!C36</f>
        <v>76264.866633124766</v>
      </c>
      <c r="D17" s="16">
        <f>-'Loan Schedule'!D36</f>
        <v>57345.142453910958</v>
      </c>
      <c r="E17" s="16">
        <f>-'Loan Schedule'!E36</f>
        <v>36865.824544000381</v>
      </c>
      <c r="F17" s="16">
        <f>-'Loan Schedule'!F36</f>
        <v>14698.352223449096</v>
      </c>
    </row>
    <row r="18" spans="1:6" customFormat="1" x14ac:dyDescent="0.25">
      <c r="A18" t="s">
        <v>88</v>
      </c>
      <c r="B18" s="16">
        <f>-'Loan Schedule'!B37</f>
        <v>212039.82334867734</v>
      </c>
      <c r="C18" s="16">
        <f>-'Loan Schedule'!C37</f>
        <v>229518.72399332724</v>
      </c>
      <c r="D18" s="16">
        <f>-'Loan Schedule'!D37</f>
        <v>248438.44817254104</v>
      </c>
      <c r="E18" s="16">
        <f>-'Loan Schedule'!E37</f>
        <v>268917.76608245162</v>
      </c>
      <c r="F18" s="16">
        <f>-'Loan Schedule'!F37</f>
        <v>291085.23840300291</v>
      </c>
    </row>
    <row r="19" spans="1:6" customFormat="1" x14ac:dyDescent="0.25">
      <c r="A19" s="39" t="s">
        <v>89</v>
      </c>
      <c r="B19" s="43">
        <f xml:space="preserve"> SUM(B15:B18)</f>
        <v>405747.65020195337</v>
      </c>
      <c r="C19" s="43">
        <f>SUM(C15:C18)</f>
        <v>600168.54518672067</v>
      </c>
      <c r="D19" s="43">
        <f>SUM(D15:D18)</f>
        <v>846723.62105748267</v>
      </c>
      <c r="E19" s="43">
        <f>SUM(E15:E18)</f>
        <v>1159072.5770441301</v>
      </c>
      <c r="F19" s="43">
        <f>SUM(F15:F18)</f>
        <v>1554372.1235058256</v>
      </c>
    </row>
    <row r="20" spans="1:6" customFormat="1" x14ac:dyDescent="0.25">
      <c r="B20" s="15"/>
      <c r="C20" s="15"/>
      <c r="D20" s="15"/>
      <c r="E20" s="15"/>
      <c r="F20" s="15"/>
    </row>
    <row r="21" spans="1:6" customFormat="1" x14ac:dyDescent="0.25">
      <c r="A21" s="13" t="s">
        <v>90</v>
      </c>
      <c r="B21" s="14">
        <f>B12-B19</f>
        <v>-45747.650201953831</v>
      </c>
      <c r="C21" s="14">
        <f>C12-C19</f>
        <v>100381.59933768224</v>
      </c>
      <c r="D21" s="14">
        <f>D12-D19</f>
        <v>291960.62406880222</v>
      </c>
      <c r="E21" s="14">
        <f>E12-E19</f>
        <v>540847.69583231094</v>
      </c>
      <c r="F21" s="14">
        <f>F12-F19</f>
        <v>861989.11809417605</v>
      </c>
    </row>
    <row r="22" spans="1:6" customFormat="1" x14ac:dyDescent="0.25">
      <c r="A22" s="13" t="s">
        <v>91</v>
      </c>
      <c r="B22" s="14">
        <f>B4+'Cash Flow'!B21</f>
        <v>804252.34979804617</v>
      </c>
      <c r="C22" s="14">
        <f>B22+C21</f>
        <v>904633.94913572841</v>
      </c>
      <c r="D22" s="14">
        <f t="shared" ref="D22:F22" si="1">C22+D21</f>
        <v>1196594.5732045306</v>
      </c>
      <c r="E22" s="14">
        <f t="shared" si="1"/>
        <v>1737442.2690368416</v>
      </c>
      <c r="F22" s="14">
        <f t="shared" si="1"/>
        <v>2599431.3871310176</v>
      </c>
    </row>
    <row r="23" spans="1:6" customFormat="1" x14ac:dyDescent="0.25"/>
    <row r="24" spans="1:6" customFormat="1" x14ac:dyDescent="0.25"/>
    <row r="25" spans="1:6" customFormat="1" x14ac:dyDescent="0.25"/>
    <row r="26" spans="1:6" customFormat="1" x14ac:dyDescent="0.25"/>
    <row r="27" spans="1:6" customFormat="1" x14ac:dyDescent="0.25"/>
    <row r="28" spans="1:6" customFormat="1" x14ac:dyDescent="0.25"/>
    <row r="29" spans="1:6" customFormat="1" x14ac:dyDescent="0.25"/>
    <row r="30" spans="1:6" customFormat="1" x14ac:dyDescent="0.25"/>
    <row r="31" spans="1:6" customFormat="1" x14ac:dyDescent="0.25"/>
    <row r="32" spans="1:6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</sheetData>
  <conditionalFormatting sqref="B21:F22">
    <cfRule type="cellIs" dxfId="7" priority="1" operator="lessThan">
      <formula>0</formula>
    </cfRule>
  </conditionalFormatting>
  <dataValidations count="1">
    <dataValidation allowBlank="1" error="pavI8MeUFtEyxX2I4tkya5338ed7-b54d-4d25-ba7f-a8c51be90444" sqref="A1:L156" xr:uid="{00000000-0002-0000-0400-000000000000}"/>
  </dataValidations>
  <pageMargins left="0.7" right="0.7" top="0.75" bottom="0.75" header="0.3" footer="0.3"/>
  <pageSetup scale="75" orientation="portrait" r:id="rId1"/>
  <headerFooter>
    <oddFooter>&amp;R&amp;F &amp;A 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60"/>
  <sheetViews>
    <sheetView topLeftCell="B2" zoomScale="140" zoomScaleNormal="140" workbookViewId="0">
      <selection activeCell="B10" sqref="B10"/>
    </sheetView>
  </sheetViews>
  <sheetFormatPr defaultColWidth="9.140625" defaultRowHeight="15" x14ac:dyDescent="0.25"/>
  <cols>
    <col min="1" max="1" width="25.5703125" style="25" customWidth="1"/>
    <col min="2" max="2" width="14.85546875" style="25" customWidth="1"/>
    <col min="3" max="3" width="13.7109375" style="25" customWidth="1"/>
    <col min="4" max="4" width="9.5703125" style="25" customWidth="1"/>
    <col min="5" max="5" width="13" style="25" customWidth="1"/>
    <col min="6" max="6" width="15.28515625" style="25" customWidth="1"/>
    <col min="7" max="7" width="11" style="25" customWidth="1"/>
    <col min="8" max="8" width="16.140625" style="25" customWidth="1"/>
    <col min="9" max="9" width="18.140625" style="25" customWidth="1"/>
    <col min="10" max="16384" width="9.140625" style="25"/>
  </cols>
  <sheetData>
    <row r="1" spans="1:9" s="3" customFormat="1" ht="42.75" x14ac:dyDescent="0.75">
      <c r="A1" s="1" t="s">
        <v>203</v>
      </c>
    </row>
    <row r="2" spans="1:9" s="3" customFormat="1" ht="18.75" x14ac:dyDescent="0.3">
      <c r="A2" s="106" t="s">
        <v>92</v>
      </c>
    </row>
    <row r="3" spans="1:9" s="3" customFormat="1" ht="15" customHeight="1" x14ac:dyDescent="0.35">
      <c r="A3" s="4"/>
    </row>
    <row r="4" spans="1:9" s="3" customFormat="1" ht="15" customHeight="1" x14ac:dyDescent="0.25">
      <c r="A4" s="44" t="s">
        <v>93</v>
      </c>
      <c r="B4" s="102">
        <v>0.08</v>
      </c>
    </row>
    <row r="5" spans="1:9" s="3" customFormat="1" ht="15" customHeight="1" x14ac:dyDescent="0.25">
      <c r="A5" s="44"/>
    </row>
    <row r="6" spans="1:9" s="45" customFormat="1" ht="33" customHeight="1" x14ac:dyDescent="0.25">
      <c r="A6" s="86" t="s">
        <v>94</v>
      </c>
      <c r="B6" s="86" t="s">
        <v>95</v>
      </c>
      <c r="C6" s="86" t="s">
        <v>96</v>
      </c>
      <c r="D6" s="86" t="s">
        <v>97</v>
      </c>
      <c r="E6" s="86" t="s">
        <v>98</v>
      </c>
      <c r="F6" s="86" t="s">
        <v>99</v>
      </c>
      <c r="G6" s="86" t="s">
        <v>100</v>
      </c>
      <c r="H6" s="86" t="s">
        <v>182</v>
      </c>
      <c r="I6" s="86" t="s">
        <v>183</v>
      </c>
    </row>
    <row r="7" spans="1:9" customFormat="1" ht="15" customHeight="1" x14ac:dyDescent="0.25">
      <c r="A7" t="s">
        <v>101</v>
      </c>
      <c r="B7" s="46">
        <v>1500000</v>
      </c>
      <c r="C7" s="47">
        <v>0</v>
      </c>
      <c r="D7" s="5">
        <v>5</v>
      </c>
      <c r="E7" s="48">
        <v>4</v>
      </c>
      <c r="F7" s="48">
        <f>D7*E7</f>
        <v>20</v>
      </c>
      <c r="G7" s="49">
        <f>$B$4</f>
        <v>0.08</v>
      </c>
      <c r="H7" s="50">
        <f>G7/E7</f>
        <v>0.02</v>
      </c>
      <c r="I7" s="94">
        <f>PMT(H7,F7,B7)</f>
        <v>-91735.077187935603</v>
      </c>
    </row>
    <row r="8" spans="1:9" customFormat="1" ht="15" customHeight="1" x14ac:dyDescent="0.25">
      <c r="A8" t="s">
        <v>102</v>
      </c>
      <c r="B8" s="46">
        <v>1500000</v>
      </c>
      <c r="C8" s="94">
        <f>FV(H8,F8,I8,B8)</f>
        <v>-406618.35904870299</v>
      </c>
      <c r="D8" s="5">
        <v>5</v>
      </c>
      <c r="E8" s="48">
        <v>4</v>
      </c>
      <c r="F8" s="48">
        <f>D8*E8</f>
        <v>20</v>
      </c>
      <c r="G8" s="49">
        <f>$B$4</f>
        <v>0.08</v>
      </c>
      <c r="H8" s="50">
        <f>G8/E8</f>
        <v>0.02</v>
      </c>
      <c r="I8" s="15">
        <v>-75000</v>
      </c>
    </row>
    <row r="9" spans="1:9" customFormat="1" ht="15" customHeight="1" x14ac:dyDescent="0.25">
      <c r="A9" t="s">
        <v>103</v>
      </c>
      <c r="B9" s="46">
        <v>1500000</v>
      </c>
      <c r="C9" s="47">
        <v>0</v>
      </c>
      <c r="D9" s="98">
        <f>F9/E9</f>
        <v>6.4490749784430879</v>
      </c>
      <c r="E9" s="48">
        <v>4</v>
      </c>
      <c r="F9" s="95">
        <f>NPER(H9,I9,B9)</f>
        <v>25.796299913772351</v>
      </c>
      <c r="G9" s="49">
        <f>$B$4</f>
        <v>0.08</v>
      </c>
      <c r="H9" s="50">
        <f>G9/E9</f>
        <v>0.02</v>
      </c>
      <c r="I9" s="15">
        <v>-74999</v>
      </c>
    </row>
    <row r="10" spans="1:9" customFormat="1" ht="15" customHeight="1" x14ac:dyDescent="0.25">
      <c r="A10" t="s">
        <v>104</v>
      </c>
      <c r="B10" s="94">
        <f>PV(H10,F10,I10)</f>
        <v>1226357.5008447834</v>
      </c>
      <c r="C10" s="47">
        <v>0</v>
      </c>
      <c r="D10" s="5">
        <v>5</v>
      </c>
      <c r="E10" s="48">
        <v>4</v>
      </c>
      <c r="F10" s="48">
        <f>D10*E10</f>
        <v>20</v>
      </c>
      <c r="G10" s="49">
        <f>$B$4</f>
        <v>0.08</v>
      </c>
      <c r="H10" s="50">
        <f>G10/E10</f>
        <v>0.02</v>
      </c>
      <c r="I10" s="15">
        <v>-75000</v>
      </c>
    </row>
    <row r="11" spans="1:9" customFormat="1" x14ac:dyDescent="0.25"/>
    <row r="12" spans="1:9" customFormat="1" x14ac:dyDescent="0.25"/>
    <row r="13" spans="1:9" customFormat="1" x14ac:dyDescent="0.25"/>
    <row r="14" spans="1:9" customFormat="1" x14ac:dyDescent="0.25"/>
    <row r="15" spans="1:9" customFormat="1" x14ac:dyDescent="0.25"/>
    <row r="16" spans="1:9" customFormat="1" x14ac:dyDescent="0.25"/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</sheetData>
  <conditionalFormatting sqref="C7:C10 E7:F10 I7:I10">
    <cfRule type="cellIs" dxfId="6" priority="1" operator="lessThan">
      <formula>0</formula>
    </cfRule>
  </conditionalFormatting>
  <dataValidations count="1">
    <dataValidation allowBlank="1" error="pavI8MeUFtEyxX2I4tkya5338ed7-b54d-4d25-ba7f-a8c51be90444" sqref="A1:I60" xr:uid="{00000000-0002-0000-0500-000000000000}"/>
  </dataValidations>
  <pageMargins left="0.7" right="0.7" top="0.75" bottom="0.75" header="0.3" footer="0.3"/>
  <pageSetup scale="65" orientation="portrait" r:id="rId1"/>
  <headerFooter>
    <oddFooter>&amp;R&amp;F &amp;A &amp;D</oddFooter>
  </headerFooter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38"/>
  <sheetViews>
    <sheetView topLeftCell="A34" zoomScale="140" zoomScaleNormal="140" workbookViewId="0">
      <selection activeCell="E38" sqref="E38"/>
    </sheetView>
  </sheetViews>
  <sheetFormatPr defaultRowHeight="15" x14ac:dyDescent="0.25"/>
  <cols>
    <col min="1" max="1" width="25.28515625" customWidth="1"/>
    <col min="2" max="2" width="14" customWidth="1"/>
    <col min="3" max="3" width="14.5703125" customWidth="1"/>
    <col min="4" max="4" width="14.85546875" customWidth="1"/>
    <col min="5" max="5" width="14.5703125" customWidth="1"/>
    <col min="6" max="6" width="13.42578125" customWidth="1"/>
    <col min="7" max="7" width="20.140625" customWidth="1"/>
    <col min="8" max="8" width="10.85546875" customWidth="1"/>
    <col min="9" max="9" width="12" customWidth="1"/>
  </cols>
  <sheetData>
    <row r="1" spans="1:7" ht="42.75" x14ac:dyDescent="0.75">
      <c r="A1" s="1" t="s">
        <v>203</v>
      </c>
      <c r="B1" s="2"/>
    </row>
    <row r="2" spans="1:7" ht="18.75" x14ac:dyDescent="0.3">
      <c r="A2" s="106" t="s">
        <v>105</v>
      </c>
    </row>
    <row r="3" spans="1:7" ht="15" customHeight="1" x14ac:dyDescent="0.35">
      <c r="A3" s="4"/>
    </row>
    <row r="4" spans="1:7" ht="30" x14ac:dyDescent="0.25">
      <c r="A4" s="86" t="s">
        <v>106</v>
      </c>
      <c r="B4" s="86" t="s">
        <v>107</v>
      </c>
      <c r="C4" s="86" t="s">
        <v>98</v>
      </c>
      <c r="D4" s="86" t="s">
        <v>108</v>
      </c>
      <c r="E4" s="86" t="s">
        <v>97</v>
      </c>
      <c r="F4" s="86" t="s">
        <v>99</v>
      </c>
      <c r="G4" s="86" t="s">
        <v>109</v>
      </c>
    </row>
    <row r="5" spans="1:7" ht="15.75" customHeight="1" x14ac:dyDescent="0.25">
      <c r="A5" s="21">
        <f>Startup!B26</f>
        <v>1250000</v>
      </c>
      <c r="B5" s="49">
        <v>0.08</v>
      </c>
      <c r="C5">
        <v>4</v>
      </c>
      <c r="D5" s="51">
        <f>B5/C5</f>
        <v>0.02</v>
      </c>
      <c r="E5">
        <v>5</v>
      </c>
      <c r="F5">
        <f>C5*E5</f>
        <v>20</v>
      </c>
      <c r="G5" s="52">
        <f>PMT(D5,F5,A5)</f>
        <v>-76445.897656613</v>
      </c>
    </row>
    <row r="6" spans="1:7" ht="15.75" customHeight="1" x14ac:dyDescent="0.25"/>
    <row r="7" spans="1:7" ht="17.25" x14ac:dyDescent="0.25">
      <c r="A7" s="82" t="s">
        <v>110</v>
      </c>
      <c r="F7" s="21"/>
    </row>
    <row r="8" spans="1:7" ht="30" x14ac:dyDescent="0.25">
      <c r="A8" s="86" t="s">
        <v>111</v>
      </c>
      <c r="B8" s="86" t="s">
        <v>112</v>
      </c>
      <c r="C8" s="86" t="s">
        <v>113</v>
      </c>
      <c r="D8" s="86" t="s">
        <v>114</v>
      </c>
      <c r="E8" s="86" t="s">
        <v>115</v>
      </c>
      <c r="F8" s="86" t="s">
        <v>116</v>
      </c>
    </row>
    <row r="9" spans="1:7" x14ac:dyDescent="0.25">
      <c r="A9" s="53">
        <v>1</v>
      </c>
      <c r="B9" s="53">
        <v>1</v>
      </c>
      <c r="C9" s="15">
        <f>A5</f>
        <v>1250000</v>
      </c>
      <c r="D9" s="15">
        <f>IPMT($D$5,B9,$F$5,$A$5)</f>
        <v>-25000</v>
      </c>
      <c r="E9" s="15">
        <f>PPMT($D$5,B9,$F$5,$A$5)</f>
        <v>-51445.897656612993</v>
      </c>
      <c r="F9" s="15">
        <f>D9+E9</f>
        <v>-76445.897656613</v>
      </c>
    </row>
    <row r="10" spans="1:7" x14ac:dyDescent="0.25">
      <c r="A10" s="53">
        <v>1</v>
      </c>
      <c r="B10" s="53">
        <v>2</v>
      </c>
      <c r="C10" s="54">
        <f>C9+E9</f>
        <v>1198554.102343387</v>
      </c>
      <c r="D10" s="54">
        <f>IPMT($D$5,B10,$F$5,$A$5)</f>
        <v>-23971.082046867741</v>
      </c>
      <c r="E10" s="15">
        <f>PPMT($D$5,B10,$F$5,$A$5)</f>
        <v>-52474.815609745245</v>
      </c>
      <c r="F10" s="15">
        <f>D10+E10</f>
        <v>-76445.897656612986</v>
      </c>
    </row>
    <row r="11" spans="1:7" x14ac:dyDescent="0.25">
      <c r="A11" s="53">
        <v>1</v>
      </c>
      <c r="B11" s="53">
        <v>3</v>
      </c>
      <c r="C11" s="54">
        <f t="shared" ref="C11:C28" si="0">C10+E10</f>
        <v>1146079.2867336418</v>
      </c>
      <c r="D11" s="54">
        <f t="shared" ref="D11:D28" si="1">IPMT($D$5,B11,$F$5,$A$5)</f>
        <v>-22921.585734672837</v>
      </c>
      <c r="E11" s="54">
        <f t="shared" ref="E11:E28" si="2">PPMT($D$5,B11,$F$5,$A$5)</f>
        <v>-53524.311921940149</v>
      </c>
      <c r="F11" s="54">
        <f t="shared" ref="F11:F28" si="3">D11+E11</f>
        <v>-76445.897656612986</v>
      </c>
    </row>
    <row r="12" spans="1:7" x14ac:dyDescent="0.25">
      <c r="A12" s="55">
        <v>1</v>
      </c>
      <c r="B12" s="55">
        <v>4</v>
      </c>
      <c r="C12" s="56">
        <f t="shared" si="0"/>
        <v>1092554.9748117016</v>
      </c>
      <c r="D12" s="56">
        <f t="shared" si="1"/>
        <v>-21851.099496234037</v>
      </c>
      <c r="E12" s="56">
        <f t="shared" si="2"/>
        <v>-54594.798160378959</v>
      </c>
      <c r="F12" s="56">
        <f t="shared" si="3"/>
        <v>-76445.897656613</v>
      </c>
    </row>
    <row r="13" spans="1:7" x14ac:dyDescent="0.25">
      <c r="A13" s="53">
        <v>2</v>
      </c>
      <c r="B13" s="53">
        <v>5</v>
      </c>
      <c r="C13" s="54">
        <f t="shared" si="0"/>
        <v>1037960.1766513226</v>
      </c>
      <c r="D13" s="54">
        <f t="shared" si="1"/>
        <v>-20759.203533026459</v>
      </c>
      <c r="E13" s="54">
        <f t="shared" si="2"/>
        <v>-55686.694123586538</v>
      </c>
      <c r="F13" s="54">
        <f t="shared" si="3"/>
        <v>-76445.897656613</v>
      </c>
    </row>
    <row r="14" spans="1:7" x14ac:dyDescent="0.25">
      <c r="A14" s="53">
        <v>2</v>
      </c>
      <c r="B14" s="53">
        <v>6</v>
      </c>
      <c r="C14" s="54">
        <f t="shared" si="0"/>
        <v>982273.48252773611</v>
      </c>
      <c r="D14" s="54">
        <f t="shared" si="1"/>
        <v>-19645.469650554729</v>
      </c>
      <c r="E14" s="54">
        <f t="shared" si="2"/>
        <v>-56800.428006058268</v>
      </c>
      <c r="F14" s="54">
        <f t="shared" si="3"/>
        <v>-76445.897656613</v>
      </c>
    </row>
    <row r="15" spans="1:7" x14ac:dyDescent="0.25">
      <c r="A15" s="53">
        <v>2</v>
      </c>
      <c r="B15" s="53">
        <v>7</v>
      </c>
      <c r="C15" s="54">
        <f t="shared" si="0"/>
        <v>925473.05452167778</v>
      </c>
      <c r="D15" s="54">
        <f t="shared" si="1"/>
        <v>-18509.46109043356</v>
      </c>
      <c r="E15" s="54">
        <f t="shared" si="2"/>
        <v>-57936.436566179436</v>
      </c>
      <c r="F15" s="54">
        <f t="shared" si="3"/>
        <v>-76445.897656613</v>
      </c>
    </row>
    <row r="16" spans="1:7" x14ac:dyDescent="0.25">
      <c r="A16" s="55">
        <v>2</v>
      </c>
      <c r="B16" s="55">
        <v>8</v>
      </c>
      <c r="C16" s="56">
        <f t="shared" si="0"/>
        <v>867536.6179554984</v>
      </c>
      <c r="D16" s="56">
        <f t="shared" si="1"/>
        <v>-17350.73235910997</v>
      </c>
      <c r="E16" s="56">
        <f t="shared" si="2"/>
        <v>-59095.165297503023</v>
      </c>
      <c r="F16" s="56">
        <f t="shared" si="3"/>
        <v>-76445.897656613</v>
      </c>
    </row>
    <row r="17" spans="1:6" x14ac:dyDescent="0.25">
      <c r="A17" s="53">
        <v>3</v>
      </c>
      <c r="B17" s="53">
        <v>9</v>
      </c>
      <c r="C17" s="54">
        <f t="shared" si="0"/>
        <v>808441.4526579954</v>
      </c>
      <c r="D17" s="54">
        <f t="shared" si="1"/>
        <v>-16168.829053159916</v>
      </c>
      <c r="E17" s="54">
        <f t="shared" si="2"/>
        <v>-60277.068603453081</v>
      </c>
      <c r="F17" s="54">
        <f t="shared" si="3"/>
        <v>-76445.897656613</v>
      </c>
    </row>
    <row r="18" spans="1:6" x14ac:dyDescent="0.25">
      <c r="A18" s="53">
        <v>3</v>
      </c>
      <c r="B18" s="53">
        <v>10</v>
      </c>
      <c r="C18" s="54">
        <f t="shared" si="0"/>
        <v>748164.38405454229</v>
      </c>
      <c r="D18" s="54">
        <f t="shared" si="1"/>
        <v>-14963.287681090849</v>
      </c>
      <c r="E18" s="54">
        <f t="shared" si="2"/>
        <v>-61482.609975522151</v>
      </c>
      <c r="F18" s="54">
        <f t="shared" si="3"/>
        <v>-76445.897656613</v>
      </c>
    </row>
    <row r="19" spans="1:6" x14ac:dyDescent="0.25">
      <c r="A19" s="53">
        <v>3</v>
      </c>
      <c r="B19" s="53">
        <v>11</v>
      </c>
      <c r="C19" s="54">
        <f t="shared" si="0"/>
        <v>686681.77407902014</v>
      </c>
      <c r="D19" s="54">
        <f t="shared" si="1"/>
        <v>-13733.635481580408</v>
      </c>
      <c r="E19" s="54">
        <f t="shared" si="2"/>
        <v>-62712.262175032592</v>
      </c>
      <c r="F19" s="54">
        <f t="shared" si="3"/>
        <v>-76445.897656613</v>
      </c>
    </row>
    <row r="20" spans="1:6" x14ac:dyDescent="0.25">
      <c r="A20" s="55">
        <v>3</v>
      </c>
      <c r="B20" s="55">
        <v>12</v>
      </c>
      <c r="C20" s="56">
        <f t="shared" si="0"/>
        <v>623969.5119039875</v>
      </c>
      <c r="D20" s="56">
        <f t="shared" si="1"/>
        <v>-12479.390238079755</v>
      </c>
      <c r="E20" s="56">
        <f t="shared" si="2"/>
        <v>-63966.507418533241</v>
      </c>
      <c r="F20" s="56">
        <f t="shared" si="3"/>
        <v>-76445.897656613</v>
      </c>
    </row>
    <row r="21" spans="1:6" x14ac:dyDescent="0.25">
      <c r="A21" s="53">
        <v>4</v>
      </c>
      <c r="B21" s="53">
        <v>13</v>
      </c>
      <c r="C21" s="54">
        <f t="shared" si="0"/>
        <v>560003.00448545429</v>
      </c>
      <c r="D21" s="54">
        <f t="shared" si="1"/>
        <v>-11200.06008970909</v>
      </c>
      <c r="E21" s="54">
        <f t="shared" si="2"/>
        <v>-65245.837566903894</v>
      </c>
      <c r="F21" s="54">
        <f t="shared" si="3"/>
        <v>-76445.897656612986</v>
      </c>
    </row>
    <row r="22" spans="1:6" x14ac:dyDescent="0.25">
      <c r="A22" s="53">
        <v>4</v>
      </c>
      <c r="B22" s="53">
        <v>14</v>
      </c>
      <c r="C22" s="54">
        <f t="shared" si="0"/>
        <v>494757.16691855039</v>
      </c>
      <c r="D22" s="54">
        <f t="shared" si="1"/>
        <v>-9895.1433383710137</v>
      </c>
      <c r="E22" s="54">
        <f t="shared" si="2"/>
        <v>-66550.754318241976</v>
      </c>
      <c r="F22" s="54">
        <f t="shared" si="3"/>
        <v>-76445.897656612986</v>
      </c>
    </row>
    <row r="23" spans="1:6" x14ac:dyDescent="0.25">
      <c r="A23" s="53">
        <v>4</v>
      </c>
      <c r="B23" s="53">
        <v>15</v>
      </c>
      <c r="C23" s="54">
        <f t="shared" si="0"/>
        <v>428206.41260030842</v>
      </c>
      <c r="D23" s="54">
        <f t="shared" si="1"/>
        <v>-8564.1282520061741</v>
      </c>
      <c r="E23" s="54">
        <f t="shared" si="2"/>
        <v>-67881.769404606821</v>
      </c>
      <c r="F23" s="54">
        <f t="shared" si="3"/>
        <v>-76445.897656613</v>
      </c>
    </row>
    <row r="24" spans="1:6" x14ac:dyDescent="0.25">
      <c r="A24" s="55">
        <v>4</v>
      </c>
      <c r="B24" s="55">
        <v>16</v>
      </c>
      <c r="C24" s="56">
        <f t="shared" si="0"/>
        <v>360324.64319570159</v>
      </c>
      <c r="D24" s="56">
        <f t="shared" si="1"/>
        <v>-7206.4928639140353</v>
      </c>
      <c r="E24" s="56">
        <f t="shared" si="2"/>
        <v>-69239.404792698959</v>
      </c>
      <c r="F24" s="56">
        <f t="shared" si="3"/>
        <v>-76445.897656613</v>
      </c>
    </row>
    <row r="25" spans="1:6" x14ac:dyDescent="0.25">
      <c r="A25" s="53">
        <v>5</v>
      </c>
      <c r="B25" s="53">
        <v>17</v>
      </c>
      <c r="C25" s="54">
        <f t="shared" si="0"/>
        <v>291085.23840300262</v>
      </c>
      <c r="D25" s="54">
        <f t="shared" si="1"/>
        <v>-5821.7047680600572</v>
      </c>
      <c r="E25" s="54">
        <f t="shared" si="2"/>
        <v>-70624.192888552934</v>
      </c>
      <c r="F25" s="54">
        <f t="shared" si="3"/>
        <v>-76445.897656612986</v>
      </c>
    </row>
    <row r="26" spans="1:6" x14ac:dyDescent="0.25">
      <c r="A26" s="53">
        <v>5</v>
      </c>
      <c r="B26" s="53">
        <v>18</v>
      </c>
      <c r="C26" s="54">
        <f t="shared" si="0"/>
        <v>220461.04551444968</v>
      </c>
      <c r="D26" s="54">
        <f t="shared" si="1"/>
        <v>-4409.2209102889992</v>
      </c>
      <c r="E26" s="54">
        <f t="shared" si="2"/>
        <v>-72036.676746323996</v>
      </c>
      <c r="F26" s="54">
        <f t="shared" si="3"/>
        <v>-76445.897656613</v>
      </c>
    </row>
    <row r="27" spans="1:6" x14ac:dyDescent="0.25">
      <c r="A27" s="53">
        <v>5</v>
      </c>
      <c r="B27" s="53">
        <v>19</v>
      </c>
      <c r="C27" s="54">
        <f t="shared" si="0"/>
        <v>148424.36876812569</v>
      </c>
      <c r="D27" s="54">
        <f t="shared" si="1"/>
        <v>-2968.4873753625197</v>
      </c>
      <c r="E27" s="54">
        <f t="shared" si="2"/>
        <v>-73477.410281250472</v>
      </c>
      <c r="F27" s="54">
        <f t="shared" si="3"/>
        <v>-76445.897656612986</v>
      </c>
    </row>
    <row r="28" spans="1:6" x14ac:dyDescent="0.25">
      <c r="A28" s="55">
        <v>5</v>
      </c>
      <c r="B28" s="55">
        <v>20</v>
      </c>
      <c r="C28" s="56">
        <f t="shared" si="0"/>
        <v>74946.958486875214</v>
      </c>
      <c r="D28" s="56">
        <f t="shared" si="1"/>
        <v>-1498.9391697375095</v>
      </c>
      <c r="E28" s="56">
        <f t="shared" si="2"/>
        <v>-74946.95848687549</v>
      </c>
      <c r="F28" s="56">
        <f t="shared" si="3"/>
        <v>-76445.897656613</v>
      </c>
    </row>
    <row r="29" spans="1:6" x14ac:dyDescent="0.25">
      <c r="B29" s="26" t="s">
        <v>117</v>
      </c>
      <c r="C29" s="57">
        <f>C28+E28</f>
        <v>-2.7648638933897018E-10</v>
      </c>
      <c r="D29" s="21"/>
      <c r="E29" s="21"/>
      <c r="F29" s="21"/>
    </row>
    <row r="30" spans="1:6" x14ac:dyDescent="0.25">
      <c r="C30" s="58"/>
      <c r="D30" s="58"/>
      <c r="E30" s="58"/>
    </row>
    <row r="32" spans="1:6" ht="17.25" x14ac:dyDescent="0.25">
      <c r="A32" s="82" t="s">
        <v>118</v>
      </c>
    </row>
    <row r="33" spans="1:7" x14ac:dyDescent="0.25">
      <c r="B33" s="59" t="s">
        <v>35</v>
      </c>
      <c r="C33" s="59" t="s">
        <v>36</v>
      </c>
      <c r="D33" s="59" t="s">
        <v>37</v>
      </c>
      <c r="E33" s="59" t="s">
        <v>38</v>
      </c>
      <c r="F33" s="59" t="s">
        <v>39</v>
      </c>
    </row>
    <row r="34" spans="1:7" ht="24" customHeight="1" x14ac:dyDescent="0.25">
      <c r="A34" s="110" t="s">
        <v>119</v>
      </c>
      <c r="B34" s="92">
        <v>1</v>
      </c>
      <c r="C34" s="92">
        <v>5</v>
      </c>
      <c r="D34" s="92">
        <v>9</v>
      </c>
      <c r="E34" s="92">
        <v>13</v>
      </c>
      <c r="F34" s="92">
        <v>17</v>
      </c>
    </row>
    <row r="35" spans="1:7" ht="24" customHeight="1" x14ac:dyDescent="0.25">
      <c r="A35" s="111"/>
      <c r="B35" s="93">
        <v>4</v>
      </c>
      <c r="C35" s="93">
        <v>8</v>
      </c>
      <c r="D35" s="93">
        <v>12</v>
      </c>
      <c r="E35" s="93">
        <v>16</v>
      </c>
      <c r="F35" s="93">
        <v>20</v>
      </c>
      <c r="G35" s="60" t="s">
        <v>120</v>
      </c>
    </row>
    <row r="36" spans="1:7" x14ac:dyDescent="0.25">
      <c r="A36" s="61" t="s">
        <v>121</v>
      </c>
      <c r="B36" s="62">
        <f xml:space="preserve"> CUMIPMT($D$5, $F$5, $A$5, B34, B35, 0)</f>
        <v>-93743.767277774663</v>
      </c>
      <c r="C36" s="62">
        <f t="shared" ref="C36:F36" si="4" xml:space="preserve"> CUMIPMT($D$5, $F$5, $A$5, C34, C35, 0)</f>
        <v>-76264.866633124766</v>
      </c>
      <c r="D36" s="62">
        <f t="shared" si="4"/>
        <v>-57345.142453910958</v>
      </c>
      <c r="E36" s="62">
        <f t="shared" si="4"/>
        <v>-36865.824544000381</v>
      </c>
      <c r="F36" s="62">
        <f t="shared" si="4"/>
        <v>-14698.352223449096</v>
      </c>
      <c r="G36" s="63">
        <f t="shared" ref="G36:G37" si="5">SUM(B36:F36)</f>
        <v>-278917.95313225983</v>
      </c>
    </row>
    <row r="37" spans="1:7" x14ac:dyDescent="0.25">
      <c r="A37" s="61" t="s">
        <v>122</v>
      </c>
      <c r="B37" s="62">
        <f xml:space="preserve"> CUMPRINC($D$5, $F$5, $A$5, B34, B35, 0)</f>
        <v>-212039.82334867734</v>
      </c>
      <c r="C37" s="62">
        <f t="shared" ref="C37:F37" si="6" xml:space="preserve"> CUMPRINC($D$5, $F$5, $A$5, C34, C35, 0)</f>
        <v>-229518.72399332724</v>
      </c>
      <c r="D37" s="62">
        <f t="shared" si="6"/>
        <v>-248438.44817254104</v>
      </c>
      <c r="E37" s="62">
        <f t="shared" si="6"/>
        <v>-268917.76608245162</v>
      </c>
      <c r="F37" s="62">
        <f t="shared" si="6"/>
        <v>-291085.23840300291</v>
      </c>
      <c r="G37" s="63">
        <f t="shared" si="5"/>
        <v>-1250000.0000000002</v>
      </c>
    </row>
    <row r="38" spans="1:7" x14ac:dyDescent="0.25">
      <c r="A38" s="64" t="s">
        <v>123</v>
      </c>
      <c r="B38" s="63">
        <f xml:space="preserve"> $A$5 + B37</f>
        <v>1037960.1766513226</v>
      </c>
      <c r="C38" s="63">
        <f xml:space="preserve"> B38 + C37</f>
        <v>808441.4526579954</v>
      </c>
      <c r="D38" s="63">
        <f t="shared" ref="D38:F38" si="7" xml:space="preserve"> C38 + D37</f>
        <v>560003.00448545441</v>
      </c>
      <c r="E38" s="63">
        <f t="shared" si="7"/>
        <v>291085.23840300279</v>
      </c>
      <c r="F38" s="63">
        <f t="shared" si="7"/>
        <v>0</v>
      </c>
    </row>
  </sheetData>
  <mergeCells count="1">
    <mergeCell ref="A34:A35"/>
  </mergeCells>
  <conditionalFormatting sqref="B36:G37">
    <cfRule type="cellIs" dxfId="5" priority="1" operator="lessThan">
      <formula>0</formula>
    </cfRule>
  </conditionalFormatting>
  <conditionalFormatting sqref="D9:F28">
    <cfRule type="cellIs" dxfId="4" priority="3" operator="lessThan">
      <formula>0</formula>
    </cfRule>
  </conditionalFormatting>
  <conditionalFormatting sqref="G5">
    <cfRule type="cellIs" dxfId="3" priority="2" operator="lessThan">
      <formula>0</formula>
    </cfRule>
  </conditionalFormatting>
  <dataValidations count="1">
    <dataValidation allowBlank="1" error="pavI8MeUFtEyxX2I4tkya5338ed7-b54d-4d25-ba7f-a8c51be90444" sqref="A1:G38" xr:uid="{00000000-0002-0000-0600-000000000000}"/>
  </dataValidations>
  <pageMargins left="0.7" right="0.7" top="0.75" bottom="0.75" header="0.3" footer="0.3"/>
  <pageSetup scale="80" orientation="portrait" r:id="rId1"/>
  <headerFooter>
    <oddFooter>&amp;R&amp;F &amp;A 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19"/>
  <sheetViews>
    <sheetView topLeftCell="A2" zoomScaleNormal="100" workbookViewId="0">
      <selection activeCell="B17" sqref="B17:F18"/>
    </sheetView>
  </sheetViews>
  <sheetFormatPr defaultRowHeight="15" x14ac:dyDescent="0.25"/>
  <cols>
    <col min="1" max="1" width="25.85546875" customWidth="1"/>
    <col min="2" max="2" width="15" customWidth="1"/>
    <col min="3" max="4" width="13.5703125" customWidth="1"/>
    <col min="5" max="5" width="12.28515625" customWidth="1"/>
    <col min="6" max="6" width="12.5703125" customWidth="1"/>
    <col min="7" max="9" width="14.28515625" customWidth="1"/>
    <col min="10" max="10" width="17" customWidth="1"/>
  </cols>
  <sheetData>
    <row r="1" spans="1:6" ht="42.75" x14ac:dyDescent="0.75">
      <c r="A1" s="1" t="s">
        <v>203</v>
      </c>
      <c r="B1" s="2"/>
    </row>
    <row r="2" spans="1:6" ht="18.75" x14ac:dyDescent="0.3">
      <c r="A2" s="106" t="s">
        <v>49</v>
      </c>
    </row>
    <row r="3" spans="1:6" ht="15" customHeight="1" x14ac:dyDescent="0.35">
      <c r="A3" s="4"/>
    </row>
    <row r="4" spans="1:6" x14ac:dyDescent="0.25">
      <c r="A4" s="87" t="s">
        <v>151</v>
      </c>
      <c r="B4" s="65">
        <f>Startup!B13</f>
        <v>750000</v>
      </c>
    </row>
    <row r="5" spans="1:6" x14ac:dyDescent="0.25">
      <c r="A5" s="87" t="s">
        <v>124</v>
      </c>
      <c r="B5" s="65">
        <v>250000</v>
      </c>
    </row>
    <row r="6" spans="1:6" x14ac:dyDescent="0.25">
      <c r="A6" s="87" t="s">
        <v>125</v>
      </c>
      <c r="B6" s="66">
        <v>10</v>
      </c>
    </row>
    <row r="8" spans="1:6" x14ac:dyDescent="0.25">
      <c r="B8" s="112" t="s">
        <v>111</v>
      </c>
      <c r="C8" s="112"/>
      <c r="D8" s="112"/>
      <c r="E8" s="112"/>
      <c r="F8" s="112"/>
    </row>
    <row r="9" spans="1:6" ht="17.25" x14ac:dyDescent="0.25">
      <c r="A9" s="82" t="s">
        <v>126</v>
      </c>
      <c r="B9" s="88">
        <v>1</v>
      </c>
      <c r="C9" s="88">
        <v>2</v>
      </c>
      <c r="D9" s="88">
        <v>3</v>
      </c>
      <c r="E9" s="88">
        <v>4</v>
      </c>
      <c r="F9" s="88">
        <v>5</v>
      </c>
    </row>
    <row r="10" spans="1:6" x14ac:dyDescent="0.25">
      <c r="A10" s="67" t="s">
        <v>127</v>
      </c>
      <c r="B10" s="48">
        <f xml:space="preserve"> SLN($B$4, $B$5, $B$6)</f>
        <v>50000</v>
      </c>
      <c r="C10" s="48">
        <f t="shared" ref="C10:F10" si="0" xml:space="preserve"> SLN($B$4, $B$5, $B$6)</f>
        <v>50000</v>
      </c>
      <c r="D10" s="48">
        <f t="shared" si="0"/>
        <v>50000</v>
      </c>
      <c r="E10" s="48">
        <f t="shared" si="0"/>
        <v>50000</v>
      </c>
      <c r="F10" s="48">
        <f t="shared" si="0"/>
        <v>50000</v>
      </c>
    </row>
    <row r="11" spans="1:6" x14ac:dyDescent="0.25">
      <c r="A11" s="55" t="s">
        <v>128</v>
      </c>
      <c r="B11" s="68">
        <f>B10</f>
        <v>50000</v>
      </c>
      <c r="C11" s="68">
        <f>B11+C10</f>
        <v>100000</v>
      </c>
      <c r="D11" s="68">
        <f t="shared" ref="D11:F11" si="1">C11+D10</f>
        <v>150000</v>
      </c>
      <c r="E11" s="68">
        <f t="shared" si="1"/>
        <v>200000</v>
      </c>
      <c r="F11" s="68">
        <f t="shared" si="1"/>
        <v>250000</v>
      </c>
    </row>
    <row r="12" spans="1:6" x14ac:dyDescent="0.25">
      <c r="A12" s="69" t="s">
        <v>129</v>
      </c>
      <c r="B12" s="70">
        <f xml:space="preserve"> $B$4-B11</f>
        <v>700000</v>
      </c>
      <c r="C12" s="70">
        <f t="shared" ref="C12:F12" si="2" xml:space="preserve"> $B$4-C11</f>
        <v>650000</v>
      </c>
      <c r="D12" s="70">
        <f t="shared" si="2"/>
        <v>600000</v>
      </c>
      <c r="E12" s="70">
        <f t="shared" si="2"/>
        <v>550000</v>
      </c>
      <c r="F12" s="70">
        <f t="shared" si="2"/>
        <v>500000</v>
      </c>
    </row>
    <row r="14" spans="1:6" x14ac:dyDescent="0.25">
      <c r="B14" s="112" t="s">
        <v>111</v>
      </c>
      <c r="C14" s="112"/>
      <c r="D14" s="112"/>
      <c r="E14" s="112"/>
      <c r="F14" s="112"/>
    </row>
    <row r="15" spans="1:6" ht="17.25" x14ac:dyDescent="0.25">
      <c r="A15" s="82" t="s">
        <v>130</v>
      </c>
      <c r="B15" s="88">
        <v>1</v>
      </c>
      <c r="C15" s="88">
        <v>2</v>
      </c>
      <c r="D15" s="88">
        <v>3</v>
      </c>
      <c r="E15" s="88">
        <v>4</v>
      </c>
      <c r="F15" s="88">
        <v>5</v>
      </c>
    </row>
    <row r="16" spans="1:6" x14ac:dyDescent="0.25">
      <c r="A16" s="67" t="s">
        <v>127</v>
      </c>
      <c r="B16" s="48">
        <f xml:space="preserve"> DB($B$4, $B$5, $B$6, B15)</f>
        <v>78000</v>
      </c>
      <c r="C16" s="48">
        <f t="shared" ref="C16:F16" si="3" xml:space="preserve"> DB($B$4, $B$5, $B$6, C15)</f>
        <v>69888</v>
      </c>
      <c r="D16" s="48">
        <f t="shared" si="3"/>
        <v>62619.647999999994</v>
      </c>
      <c r="E16" s="48">
        <f t="shared" si="3"/>
        <v>56107.204607999993</v>
      </c>
      <c r="F16" s="48">
        <f t="shared" si="3"/>
        <v>50272.055328767994</v>
      </c>
    </row>
    <row r="17" spans="1:6" x14ac:dyDescent="0.25">
      <c r="A17" s="55" t="s">
        <v>128</v>
      </c>
      <c r="B17" s="68">
        <f>B16</f>
        <v>78000</v>
      </c>
      <c r="C17" s="68">
        <f>B17+C16</f>
        <v>147888</v>
      </c>
      <c r="D17" s="68">
        <f t="shared" ref="D17" si="4">C17+D16</f>
        <v>210507.64799999999</v>
      </c>
      <c r="E17" s="68">
        <f t="shared" ref="E17" si="5">D17+E16</f>
        <v>266614.85260799999</v>
      </c>
      <c r="F17" s="68">
        <f t="shared" ref="F17" si="6">E17+F16</f>
        <v>316886.90793676797</v>
      </c>
    </row>
    <row r="18" spans="1:6" x14ac:dyDescent="0.25">
      <c r="A18" s="69" t="s">
        <v>129</v>
      </c>
      <c r="B18" s="70">
        <f xml:space="preserve"> $B$4-B17</f>
        <v>672000</v>
      </c>
      <c r="C18" s="70">
        <f t="shared" ref="C18" si="7" xml:space="preserve"> $B$4-C17</f>
        <v>602112</v>
      </c>
      <c r="D18" s="70">
        <f t="shared" ref="D18" si="8" xml:space="preserve"> $B$4-D17</f>
        <v>539492.35199999996</v>
      </c>
      <c r="E18" s="70">
        <f t="shared" ref="E18" si="9" xml:space="preserve"> $B$4-E17</f>
        <v>483385.14739200001</v>
      </c>
      <c r="F18" s="70">
        <f t="shared" ref="F18" si="10" xml:space="preserve"> $B$4-F17</f>
        <v>433113.09206323203</v>
      </c>
    </row>
    <row r="19" spans="1:6" x14ac:dyDescent="0.25">
      <c r="C19" s="71"/>
      <c r="D19" s="71"/>
      <c r="E19" s="71"/>
      <c r="F19" s="71"/>
    </row>
  </sheetData>
  <mergeCells count="2">
    <mergeCell ref="B8:F8"/>
    <mergeCell ref="B14:F14"/>
  </mergeCells>
  <dataValidations count="1">
    <dataValidation allowBlank="1" error="pavI8MeUFtEyxX2I4tkya5338ed7-b54d-4d25-ba7f-a8c51be90444" sqref="A1:F19" xr:uid="{00000000-0002-0000-0700-000000000000}"/>
  </dataValidations>
  <pageMargins left="0.7" right="0.7" top="0.75" bottom="0.75" header="0.3" footer="0.3"/>
  <pageSetup scale="97" orientation="portrait" r:id="rId1"/>
  <headerFooter>
    <oddFooter>&amp;R&amp;F &amp;A 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3FF18-F734-4D09-B656-B14270645984}">
  <sheetPr>
    <pageSetUpPr fitToPage="1"/>
  </sheetPr>
  <dimension ref="A1:J149"/>
  <sheetViews>
    <sheetView topLeftCell="A4" zoomScaleNormal="100" workbookViewId="0">
      <selection activeCell="C24" sqref="C24"/>
    </sheetView>
  </sheetViews>
  <sheetFormatPr defaultColWidth="9.140625" defaultRowHeight="15" x14ac:dyDescent="0.25"/>
  <cols>
    <col min="1" max="1" width="27.5703125" style="25" customWidth="1"/>
    <col min="2" max="2" width="18" style="25" customWidth="1"/>
    <col min="3" max="6" width="16.42578125" style="25" customWidth="1"/>
    <col min="7" max="9" width="14.28515625" style="25" customWidth="1"/>
    <col min="10" max="10" width="17" style="25" customWidth="1"/>
    <col min="11" max="16384" width="9.140625" style="25"/>
  </cols>
  <sheetData>
    <row r="1" spans="1:10" s="3" customFormat="1" ht="42.75" x14ac:dyDescent="0.75">
      <c r="A1" s="1" t="s">
        <v>203</v>
      </c>
    </row>
    <row r="2" spans="1:10" s="3" customFormat="1" ht="18.75" x14ac:dyDescent="0.3">
      <c r="A2" s="106" t="s">
        <v>131</v>
      </c>
    </row>
    <row r="4" spans="1:10" customFormat="1" ht="17.25" x14ac:dyDescent="0.25">
      <c r="A4" s="82" t="s">
        <v>208</v>
      </c>
    </row>
    <row r="5" spans="1:10" customFormat="1" x14ac:dyDescent="0.25">
      <c r="A5" s="90" t="s">
        <v>132</v>
      </c>
      <c r="B5" s="72">
        <f>-Startup!B31</f>
        <v>-900000</v>
      </c>
    </row>
    <row r="6" spans="1:10" customFormat="1" x14ac:dyDescent="0.25">
      <c r="A6" s="91" t="s">
        <v>209</v>
      </c>
      <c r="B6" s="73">
        <v>200000</v>
      </c>
    </row>
    <row r="7" spans="1:10" customFormat="1" x14ac:dyDescent="0.25">
      <c r="A7" s="91" t="s">
        <v>210</v>
      </c>
      <c r="B7" s="73">
        <v>5</v>
      </c>
    </row>
    <row r="8" spans="1:10" customFormat="1" x14ac:dyDescent="0.25">
      <c r="A8" s="91" t="s">
        <v>211</v>
      </c>
      <c r="B8" s="74"/>
    </row>
    <row r="9" spans="1:10" customFormat="1" x14ac:dyDescent="0.25"/>
    <row r="10" spans="1:10" customFormat="1" ht="15" customHeight="1" x14ac:dyDescent="0.25">
      <c r="A10" s="82" t="s">
        <v>212</v>
      </c>
      <c r="C10" s="97">
        <f>'Income Statement'!F6</f>
        <v>0.33</v>
      </c>
    </row>
    <row r="11" spans="1:10" customFormat="1" ht="9" customHeight="1" x14ac:dyDescent="0.25">
      <c r="A11" s="82"/>
    </row>
    <row r="12" spans="1:10" customFormat="1" ht="15" customHeight="1" x14ac:dyDescent="0.25">
      <c r="A12" s="89"/>
      <c r="B12" s="89" t="s">
        <v>133</v>
      </c>
      <c r="C12" s="89" t="s">
        <v>134</v>
      </c>
      <c r="E12" s="76"/>
      <c r="F12" s="76"/>
    </row>
    <row r="13" spans="1:10" customFormat="1" ht="15" customHeight="1" x14ac:dyDescent="0.25">
      <c r="A13" s="66" t="s">
        <v>213</v>
      </c>
      <c r="B13" s="77">
        <f>-Startup!B31</f>
        <v>-900000</v>
      </c>
      <c r="C13" s="109">
        <f>SUM($B$13:B13)</f>
        <v>-900000</v>
      </c>
      <c r="D13" s="76"/>
      <c r="E13" s="76"/>
      <c r="F13" s="76"/>
      <c r="J13" s="58"/>
    </row>
    <row r="14" spans="1:10" customFormat="1" ht="15" customHeight="1" x14ac:dyDescent="0.25">
      <c r="A14" s="66" t="s">
        <v>35</v>
      </c>
      <c r="B14" s="75" cm="1">
        <f t="array" ref="B14:B18">TRANSPOSE('Income Statement'!B34:F34)</f>
        <v>43487.189758833949</v>
      </c>
      <c r="C14" s="109">
        <f>SUM($B$13:B14)</f>
        <v>-856512.81024116604</v>
      </c>
      <c r="G14" s="5"/>
      <c r="H14" s="42"/>
      <c r="I14" s="42"/>
    </row>
    <row r="15" spans="1:10" customFormat="1" ht="15" customHeight="1" x14ac:dyDescent="0.25">
      <c r="A15" s="66" t="s">
        <v>36</v>
      </c>
      <c r="B15" s="75">
        <v>128065.77119288527</v>
      </c>
      <c r="C15" s="109">
        <f>SUM($B$13:B15)</f>
        <v>-728447.0390482808</v>
      </c>
      <c r="G15" s="5"/>
      <c r="H15" s="42"/>
      <c r="I15" s="42"/>
    </row>
    <row r="16" spans="1:10" customFormat="1" ht="15" customHeight="1" x14ac:dyDescent="0.25">
      <c r="A16" s="66" t="s">
        <v>37</v>
      </c>
      <c r="B16" s="75">
        <v>235324.19402931837</v>
      </c>
      <c r="C16" s="109">
        <f>SUM($B$13:B16)</f>
        <v>-493122.8450189624</v>
      </c>
    </row>
    <row r="17" spans="1:6" customFormat="1" ht="15" customHeight="1" x14ac:dyDescent="0.25">
      <c r="A17" s="66" t="s">
        <v>38</v>
      </c>
      <c r="B17" s="75">
        <v>371204.81330034585</v>
      </c>
      <c r="C17" s="109">
        <f>SUM($B$13:B17)</f>
        <v>-121918.03171861655</v>
      </c>
    </row>
    <row r="18" spans="1:6" customFormat="1" ht="15" customHeight="1" x14ac:dyDescent="0.25">
      <c r="A18" s="66" t="s">
        <v>39</v>
      </c>
      <c r="B18" s="75">
        <v>543171.28266503825</v>
      </c>
      <c r="C18" s="109">
        <f>SUM($B$13:B18)</f>
        <v>421253.2509464217</v>
      </c>
    </row>
    <row r="19" spans="1:6" customFormat="1" ht="15" customHeight="1" x14ac:dyDescent="0.25">
      <c r="F19" s="5"/>
    </row>
    <row r="20" spans="1:6" customFormat="1" ht="15" customHeight="1" x14ac:dyDescent="0.25">
      <c r="A20" s="113" t="s">
        <v>135</v>
      </c>
      <c r="B20" s="114"/>
      <c r="C20" s="99">
        <v>0.1</v>
      </c>
    </row>
    <row r="21" spans="1:6" customFormat="1" ht="15" customHeight="1" x14ac:dyDescent="0.25">
      <c r="A21" s="113" t="s">
        <v>136</v>
      </c>
      <c r="B21" s="114"/>
      <c r="C21" s="78">
        <f xml:space="preserve"> NPV(C20,_xlfn.ANCHORARRAY( B14))</f>
        <v>912980.35284135607</v>
      </c>
    </row>
    <row r="22" spans="1:6" customFormat="1" ht="15" customHeight="1" x14ac:dyDescent="0.25">
      <c r="A22" s="113" t="s">
        <v>137</v>
      </c>
      <c r="B22" s="114"/>
      <c r="C22" s="79">
        <f xml:space="preserve"> B13 + C21</f>
        <v>12980.352841356071</v>
      </c>
    </row>
    <row r="23" spans="1:6" customFormat="1" ht="15" customHeight="1" x14ac:dyDescent="0.25">
      <c r="A23" s="113" t="s">
        <v>138</v>
      </c>
      <c r="B23" s="114"/>
      <c r="C23" s="80">
        <f xml:space="preserve"> IRR(B13:B18)</f>
        <v>0.10414052247419936</v>
      </c>
    </row>
    <row r="24" spans="1:6" customFormat="1" x14ac:dyDescent="0.25"/>
    <row r="25" spans="1:6" customFormat="1" x14ac:dyDescent="0.25"/>
    <row r="26" spans="1:6" customFormat="1" x14ac:dyDescent="0.25"/>
    <row r="27" spans="1:6" customFormat="1" x14ac:dyDescent="0.25"/>
    <row r="28" spans="1:6" customFormat="1" x14ac:dyDescent="0.25"/>
    <row r="29" spans="1:6" customFormat="1" x14ac:dyDescent="0.25"/>
    <row r="30" spans="1:6" customFormat="1" x14ac:dyDescent="0.25"/>
    <row r="31" spans="1:6" customFormat="1" x14ac:dyDescent="0.25"/>
    <row r="32" spans="1:6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</sheetData>
  <mergeCells count="4">
    <mergeCell ref="A20:B20"/>
    <mergeCell ref="A21:B21"/>
    <mergeCell ref="A22:B22"/>
    <mergeCell ref="A23:B23"/>
  </mergeCells>
  <conditionalFormatting sqref="B5">
    <cfRule type="cellIs" dxfId="2" priority="2" operator="lessThan">
      <formula>0</formula>
    </cfRule>
  </conditionalFormatting>
  <conditionalFormatting sqref="B13:C18">
    <cfRule type="cellIs" dxfId="1" priority="3" operator="lessThan">
      <formula>0</formula>
    </cfRule>
  </conditionalFormatting>
  <conditionalFormatting sqref="C22">
    <cfRule type="cellIs" dxfId="0" priority="1" operator="lessThan">
      <formula>0</formula>
    </cfRule>
  </conditionalFormatting>
  <dataValidations count="1">
    <dataValidation allowBlank="1" error="pavI8MeUFtEyxX2I4tkya5338ed7-b54d-4d25-ba7f-a8c51be90444" sqref="A1:J149" xr:uid="{00000000-0002-0000-0800-000000000000}"/>
  </dataValidations>
  <pageMargins left="0.7" right="0.7" top="0.75" bottom="0.75" header="0.3" footer="0.3"/>
  <pageSetup scale="86" orientation="portrait" r:id="rId1"/>
  <headerFooter>
    <oddFooter>&amp;R&amp;F &amp;A &amp;D</oddFooter>
  </headerFooter>
  <cellWatches>
    <cellWatch r="C23"/>
  </cellWatches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76E66-B75F-4BB1-BE4A-A58639E89526}">
  <dimension ref="A1:C23"/>
  <sheetViews>
    <sheetView zoomScale="140" zoomScaleNormal="140" workbookViewId="0"/>
  </sheetViews>
  <sheetFormatPr defaultRowHeight="15" x14ac:dyDescent="0.25"/>
  <cols>
    <col min="1" max="1" width="29" customWidth="1"/>
    <col min="2" max="2" width="51.28515625" customWidth="1"/>
    <col min="3" max="3" width="36.5703125" customWidth="1"/>
  </cols>
  <sheetData>
    <row r="1" spans="1:3" ht="42.75" x14ac:dyDescent="0.75">
      <c r="A1" s="1" t="s">
        <v>203</v>
      </c>
    </row>
    <row r="2" spans="1:3" ht="18.75" x14ac:dyDescent="0.3">
      <c r="A2" s="106" t="s">
        <v>152</v>
      </c>
    </row>
    <row r="4" spans="1:3" x14ac:dyDescent="0.25">
      <c r="A4" s="107" t="s">
        <v>153</v>
      </c>
      <c r="B4" s="107" t="s">
        <v>154</v>
      </c>
      <c r="C4" s="107" t="s">
        <v>173</v>
      </c>
    </row>
    <row r="5" spans="1:3" ht="30" x14ac:dyDescent="0.25">
      <c r="A5" s="100" t="s">
        <v>155</v>
      </c>
      <c r="B5" s="101" t="s">
        <v>174</v>
      </c>
      <c r="C5" s="101"/>
    </row>
    <row r="6" spans="1:3" ht="30" x14ac:dyDescent="0.25">
      <c r="A6" s="100" t="s">
        <v>164</v>
      </c>
      <c r="B6" s="101" t="s">
        <v>176</v>
      </c>
      <c r="C6" s="101" t="s">
        <v>177</v>
      </c>
    </row>
    <row r="7" spans="1:3" ht="30" x14ac:dyDescent="0.25">
      <c r="A7" s="100" t="s">
        <v>165</v>
      </c>
      <c r="B7" s="101" t="s">
        <v>175</v>
      </c>
      <c r="C7" s="101" t="s">
        <v>178</v>
      </c>
    </row>
    <row r="8" spans="1:3" x14ac:dyDescent="0.25">
      <c r="A8" s="100" t="s">
        <v>156</v>
      </c>
      <c r="B8" s="101" t="s">
        <v>179</v>
      </c>
      <c r="C8" s="101"/>
    </row>
    <row r="9" spans="1:3" ht="30" x14ac:dyDescent="0.25">
      <c r="A9" s="100" t="s">
        <v>157</v>
      </c>
      <c r="B9" s="101" t="s">
        <v>180</v>
      </c>
      <c r="C9" s="101" t="s">
        <v>181</v>
      </c>
    </row>
    <row r="10" spans="1:3" x14ac:dyDescent="0.25">
      <c r="A10" s="100" t="s">
        <v>166</v>
      </c>
      <c r="B10" s="101" t="s">
        <v>184</v>
      </c>
      <c r="C10" s="101"/>
    </row>
    <row r="11" spans="1:3" ht="30" x14ac:dyDescent="0.25">
      <c r="A11" s="100" t="s">
        <v>161</v>
      </c>
      <c r="B11" s="101" t="s">
        <v>185</v>
      </c>
      <c r="C11" s="101"/>
    </row>
    <row r="12" spans="1:3" ht="30" x14ac:dyDescent="0.25">
      <c r="A12" s="100" t="s">
        <v>158</v>
      </c>
      <c r="B12" s="101" t="s">
        <v>186</v>
      </c>
      <c r="C12" s="101"/>
    </row>
    <row r="13" spans="1:3" ht="30" x14ac:dyDescent="0.25">
      <c r="A13" s="100" t="s">
        <v>159</v>
      </c>
      <c r="B13" s="101" t="s">
        <v>187</v>
      </c>
      <c r="C13" s="101"/>
    </row>
    <row r="14" spans="1:3" ht="30" x14ac:dyDescent="0.25">
      <c r="A14" s="100" t="s">
        <v>160</v>
      </c>
      <c r="B14" s="101" t="s">
        <v>188</v>
      </c>
      <c r="C14" s="101"/>
    </row>
    <row r="15" spans="1:3" x14ac:dyDescent="0.25">
      <c r="A15" s="100" t="s">
        <v>167</v>
      </c>
      <c r="B15" s="101" t="s">
        <v>189</v>
      </c>
      <c r="C15" s="101"/>
    </row>
    <row r="16" spans="1:3" ht="30" x14ac:dyDescent="0.25">
      <c r="A16" s="100" t="s">
        <v>168</v>
      </c>
      <c r="B16" s="101" t="s">
        <v>190</v>
      </c>
      <c r="C16" s="101"/>
    </row>
    <row r="17" spans="1:3" ht="30" x14ac:dyDescent="0.25">
      <c r="A17" s="100" t="s">
        <v>49</v>
      </c>
      <c r="B17" s="101" t="s">
        <v>191</v>
      </c>
      <c r="C17" s="101"/>
    </row>
    <row r="18" spans="1:3" ht="30" x14ac:dyDescent="0.25">
      <c r="A18" s="100" t="s">
        <v>162</v>
      </c>
      <c r="B18" s="101" t="s">
        <v>192</v>
      </c>
      <c r="C18" s="101" t="s">
        <v>193</v>
      </c>
    </row>
    <row r="19" spans="1:3" ht="30" x14ac:dyDescent="0.25">
      <c r="A19" s="100" t="s">
        <v>163</v>
      </c>
      <c r="B19" s="101" t="s">
        <v>194</v>
      </c>
      <c r="C19" s="101" t="s">
        <v>195</v>
      </c>
    </row>
    <row r="20" spans="1:3" ht="30" x14ac:dyDescent="0.25">
      <c r="A20" s="100" t="s">
        <v>169</v>
      </c>
      <c r="B20" s="101" t="s">
        <v>196</v>
      </c>
      <c r="C20" s="101"/>
    </row>
    <row r="21" spans="1:3" ht="30" x14ac:dyDescent="0.25">
      <c r="A21" s="100" t="s">
        <v>170</v>
      </c>
      <c r="B21" s="101" t="s">
        <v>197</v>
      </c>
      <c r="C21" s="101"/>
    </row>
    <row r="22" spans="1:3" ht="45" x14ac:dyDescent="0.25">
      <c r="A22" s="100" t="s">
        <v>171</v>
      </c>
      <c r="B22" s="101" t="s">
        <v>198</v>
      </c>
      <c r="C22" s="101" t="s">
        <v>199</v>
      </c>
    </row>
    <row r="23" spans="1:3" ht="30" x14ac:dyDescent="0.25">
      <c r="A23" s="100" t="s">
        <v>172</v>
      </c>
      <c r="B23" s="101" t="s">
        <v>200</v>
      </c>
      <c r="C23" s="101" t="s">
        <v>201</v>
      </c>
    </row>
  </sheetData>
  <dataValidations count="1">
    <dataValidation allowBlank="1" error="pavI8MeUFtEyxX2I4tkya5338ed7-b54d-4d25-ba7f-a8c51be90444" sqref="A1:C23" xr:uid="{00000000-0002-0000-0900-000000000000}"/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2"/>
  <sheetViews>
    <sheetView tabSelected="1" zoomScaleNormal="100" workbookViewId="0">
      <selection activeCell="A1" sqref="A1"/>
    </sheetView>
  </sheetViews>
  <sheetFormatPr defaultColWidth="8" defaultRowHeight="18" x14ac:dyDescent="0.2"/>
  <cols>
    <col min="1" max="1" width="15.000000000000000000000000001" style="115" customWidth="1"/>
    <col min="2" max="2" width="5.4285714285714285714285714288" style="115" customWidth="1"/>
    <col min="3" max="3" width="100.14285714285714285714285715" style="115" customWidth="1"/>
    <col min="4" max="4" width="11.600000000000000000000000000" style="115" customWidth="1"/>
    <col min="5" max="5" width="4.0800000000000000000000000002" style="115" customWidth="1"/>
    <col min="6" max="16384" width="9.142857142857142857142857143" style="116"/>
  </cols>
  <sheetData>
    <row r="1" spans="1:5" ht="9.9499999999999993" customHeight="1" x14ac:dyDescent="0.2">
      <c r="A1" s="115"/>
      <c r="B1" s="115"/>
      <c r="C1" s="115"/>
      <c r="D1" s="115"/>
      <c r="E1" s="115"/>
    </row>
    <row r="2" spans="1:5" ht="30.6" customHeight="1" x14ac:dyDescent="0.2">
      <c r="A2" s="115"/>
      <c r="B2" s="115"/>
      <c r="C2" s="115"/>
      <c r="D2" s="115"/>
      <c r="E2" s="115"/>
    </row>
    <row r="3" spans="1:5" ht="9.9499999999999993" customHeight="1" x14ac:dyDescent="0.2">
      <c r="A3" s="115"/>
      <c r="B3" s="115"/>
      <c r="C3" s="115"/>
      <c r="D3" s="115"/>
      <c r="E3" s="115"/>
    </row>
    <row r="4" spans="1:5" ht="34.5" customHeight="1" x14ac:dyDescent="0.2">
      <c r="B4" s="117" t="s">
        <v>216</v>
      </c>
      <c r="C4" s="117"/>
    </row>
    <row r="5" spans="1:5" ht="18" customHeight="1" x14ac:dyDescent="0.15">
      <c r="B5" s="118" t="s">
        <v>218</v>
      </c>
      <c r="C5" s="118"/>
      <c r="D5" s="119" t="s">
        <v>219</v>
      </c>
    </row>
    <row r="6" spans="1:5" ht="24" customHeight="1" thickBot="1" x14ac:dyDescent="0.25">
      <c r="A6" s="120"/>
      <c r="B6" s="120"/>
      <c r="C6" s="120"/>
      <c r="D6" s="120"/>
      <c r="E6" s="120"/>
    </row>
    <row r="7" spans="1:5" ht="13.5" customHeight="1" thickTop="1" x14ac:dyDescent="0.2">
      <c r="A7" s="121"/>
      <c r="B7" s="121"/>
      <c r="C7" s="121"/>
      <c r="D7" s="121"/>
    </row>
    <row r="8" spans="1:5" ht="16" customHeight="1" x14ac:dyDescent="0.2">
      <c r="A8" s="127" t="s">
        <v>220</v>
      </c>
      <c r="B8" s="128" t="s">
        <v>221</v>
      </c>
      <c r="C8" s="128"/>
      <c r="D8" s="115"/>
    </row>
    <row r="9" spans="1:5" ht="16" customHeight="1" x14ac:dyDescent="0.2">
      <c r="A9" s="122" t="s">
        <v>222</v>
      </c>
      <c r="B9" s="124" t="s">
        <v>223</v>
      </c>
      <c r="C9" s="124"/>
      <c r="D9" s="115"/>
    </row>
    <row r="10" spans="1:5" ht="16" customHeight="1" x14ac:dyDescent="0.2">
      <c r="A10" s="115"/>
      <c r="B10" s="115"/>
      <c r="C10" s="125" t="s">
        <v>225</v>
      </c>
      <c r="D10" s="123" t="s">
        <v>224</v>
      </c>
    </row>
    <row r="11" spans="1:5" ht="16" customHeight="1" x14ac:dyDescent="0.2">
      <c r="A11" s="115"/>
      <c r="B11" s="115"/>
      <c r="C11" s="125" t="s">
        <v>227</v>
      </c>
      <c r="D11" s="123" t="s">
        <v>226</v>
      </c>
    </row>
    <row r="12" spans="1:5" ht="16" customHeight="1" x14ac:dyDescent="0.2">
      <c r="A12" s="115"/>
      <c r="B12" s="115"/>
      <c r="C12" s="125" t="s">
        <v>229</v>
      </c>
      <c r="D12" s="123" t="s">
        <v>228</v>
      </c>
    </row>
    <row r="13" spans="1:5" ht="16" customHeight="1" x14ac:dyDescent="0.2">
      <c r="A13" s="115"/>
      <c r="B13" s="115"/>
      <c r="C13" s="126" t="s">
        <v>230</v>
      </c>
      <c r="D13" s="115"/>
    </row>
    <row r="14" spans="1:5" ht="16" customHeight="1" x14ac:dyDescent="0.2">
      <c r="A14" s="115"/>
      <c r="B14" s="115"/>
      <c r="C14" s="125" t="s">
        <v>232</v>
      </c>
      <c r="D14" s="123" t="s">
        <v>231</v>
      </c>
    </row>
    <row r="15" spans="1:5" ht="16" customHeight="1" x14ac:dyDescent="0.2">
      <c r="A15" s="115"/>
      <c r="B15" s="115"/>
      <c r="C15" s="125" t="s">
        <v>234</v>
      </c>
      <c r="D15" s="123" t="s">
        <v>233</v>
      </c>
    </row>
    <row r="16" spans="1:5" ht="16" customHeight="1" x14ac:dyDescent="0.2">
      <c r="A16" s="115"/>
      <c r="B16" s="115"/>
      <c r="C16" s="125" t="s">
        <v>236</v>
      </c>
      <c r="D16" s="123" t="s">
        <v>235</v>
      </c>
    </row>
    <row r="17" spans="1:5" ht="16" customHeight="1" x14ac:dyDescent="0.2">
      <c r="A17" s="122" t="s">
        <v>237</v>
      </c>
      <c r="B17" s="124" t="s">
        <v>238</v>
      </c>
      <c r="C17" s="124"/>
      <c r="D17" s="115"/>
    </row>
    <row r="18" spans="1:5" ht="16" customHeight="1" x14ac:dyDescent="0.2">
      <c r="A18" s="115"/>
      <c r="B18" s="115"/>
      <c r="C18" s="125" t="s">
        <v>240</v>
      </c>
      <c r="D18" s="123" t="s">
        <v>239</v>
      </c>
    </row>
    <row r="19" spans="1:5" ht="16" customHeight="1" x14ac:dyDescent="0.2">
      <c r="A19" s="115"/>
      <c r="B19" s="115"/>
      <c r="C19" s="125" t="s">
        <v>242</v>
      </c>
      <c r="D19" s="123" t="s">
        <v>241</v>
      </c>
    </row>
    <row r="20" spans="1:5" ht="16" customHeight="1" x14ac:dyDescent="0.2">
      <c r="A20" s="115"/>
      <c r="B20" s="115"/>
      <c r="C20" s="125" t="s">
        <v>244</v>
      </c>
      <c r="D20" s="123" t="s">
        <v>243</v>
      </c>
    </row>
    <row r="21" spans="1:5" ht="16" customHeight="1" x14ac:dyDescent="0.2">
      <c r="A21" s="115"/>
      <c r="B21" s="115"/>
      <c r="C21" s="125" t="s">
        <v>246</v>
      </c>
      <c r="D21" s="123" t="s">
        <v>245</v>
      </c>
    </row>
    <row r="22" spans="1:5" ht="16" customHeight="1" x14ac:dyDescent="0.2">
      <c r="A22" s="122" t="s">
        <v>247</v>
      </c>
      <c r="B22" s="124" t="s">
        <v>248</v>
      </c>
      <c r="C22" s="124"/>
      <c r="D22" s="115"/>
    </row>
    <row r="23" spans="1:5" ht="16" customHeight="1" x14ac:dyDescent="0.2">
      <c r="A23" s="115"/>
      <c r="B23" s="115"/>
      <c r="C23" s="125" t="s">
        <v>250</v>
      </c>
      <c r="D23" s="123" t="s">
        <v>249</v>
      </c>
    </row>
    <row r="24" spans="1:5" ht="16" customHeight="1" x14ac:dyDescent="0.2">
      <c r="A24" s="115"/>
      <c r="B24" s="115"/>
      <c r="C24" s="125" t="s">
        <v>252</v>
      </c>
      <c r="D24" s="123" t="s">
        <v>251</v>
      </c>
    </row>
    <row r="25" spans="1:5" ht="16" customHeight="1" x14ac:dyDescent="0.2">
      <c r="A25" s="115"/>
      <c r="B25" s="115"/>
      <c r="C25" s="125" t="s">
        <v>254</v>
      </c>
      <c r="D25" s="123" t="s">
        <v>253</v>
      </c>
    </row>
    <row r="26" spans="1:5" ht="16" customHeight="1" x14ac:dyDescent="0.2">
      <c r="A26" s="115"/>
      <c r="B26" s="115"/>
      <c r="C26" s="125" t="s">
        <v>256</v>
      </c>
      <c r="D26" s="123" t="s">
        <v>255</v>
      </c>
    </row>
    <row r="27" spans="1:5" ht="16" customHeight="1" x14ac:dyDescent="0.2">
      <c r="A27" s="115"/>
      <c r="B27" s="115"/>
      <c r="C27" s="125" t="s">
        <v>258</v>
      </c>
      <c r="D27" s="123" t="s">
        <v>257</v>
      </c>
    </row>
    <row r="28" spans="1:5" ht="16" customHeight="1" x14ac:dyDescent="0.2">
      <c r="A28" s="115"/>
      <c r="B28" s="115"/>
      <c r="C28" s="125" t="s">
        <v>260</v>
      </c>
      <c r="D28" s="123" t="s">
        <v>259</v>
      </c>
    </row>
    <row r="29" spans="1:5" ht="16" customHeight="1" x14ac:dyDescent="0.2">
      <c r="A29" s="122" t="s">
        <v>261</v>
      </c>
      <c r="B29" s="124" t="s">
        <v>262</v>
      </c>
      <c r="C29" s="124"/>
      <c r="D29" s="115"/>
    </row>
    <row r="30" spans="1:5" ht="16" customHeight="1" x14ac:dyDescent="0.2">
      <c r="A30" s="115"/>
      <c r="B30" s="115"/>
      <c r="C30" s="125" t="s">
        <v>264</v>
      </c>
      <c r="D30" s="123" t="s">
        <v>263</v>
      </c>
    </row>
    <row r="31" spans="1:5" ht="16" customHeight="1" x14ac:dyDescent="0.2">
      <c r="A31" s="115"/>
      <c r="B31" s="115"/>
      <c r="C31" s="125" t="s">
        <v>266</v>
      </c>
      <c r="D31" s="123" t="s">
        <v>265</v>
      </c>
    </row>
    <row r="32" spans="1:5" ht="16" customHeight="1" x14ac:dyDescent="0.2">
      <c r="A32" s="115"/>
      <c r="B32" s="115"/>
      <c r="C32" s="125" t="s">
        <v>268</v>
      </c>
      <c r="D32" s="123" t="s">
        <v>267</v>
      </c>
    </row>
    <row r="33" spans="1:5" ht="16" customHeight="1" x14ac:dyDescent="0.2">
      <c r="A33" s="115"/>
      <c r="B33" s="115"/>
      <c r="C33" s="125" t="s">
        <v>270</v>
      </c>
      <c r="D33" s="123" t="s">
        <v>269</v>
      </c>
    </row>
    <row r="34" spans="1:5" ht="16" customHeight="1" x14ac:dyDescent="0.2">
      <c r="A34" s="122" t="s">
        <v>271</v>
      </c>
      <c r="B34" s="124" t="s">
        <v>272</v>
      </c>
      <c r="C34" s="124"/>
      <c r="D34" s="115"/>
    </row>
    <row r="35" spans="1:5" ht="16" customHeight="1" x14ac:dyDescent="0.2">
      <c r="A35" s="115"/>
      <c r="B35" s="115"/>
      <c r="C35" s="125" t="s">
        <v>274</v>
      </c>
      <c r="D35" s="123" t="s">
        <v>273</v>
      </c>
    </row>
    <row r="36" spans="1:5" ht="16" customHeight="1" x14ac:dyDescent="0.2">
      <c r="A36" s="115"/>
      <c r="B36" s="115"/>
      <c r="C36" s="125" t="s">
        <v>276</v>
      </c>
      <c r="D36" s="123" t="s">
        <v>275</v>
      </c>
    </row>
    <row r="37" spans="1:5" ht="16" customHeight="1" x14ac:dyDescent="0.2">
      <c r="A37" s="122" t="s">
        <v>277</v>
      </c>
      <c r="B37" s="124" t="s">
        <v>278</v>
      </c>
      <c r="C37" s="124"/>
      <c r="D37" s="115"/>
    </row>
    <row r="38" spans="1:5" ht="16" customHeight="1" x14ac:dyDescent="0.2">
      <c r="A38" s="115"/>
      <c r="B38" s="115"/>
      <c r="C38" s="125" t="s">
        <v>280</v>
      </c>
      <c r="D38" s="123" t="s">
        <v>279</v>
      </c>
    </row>
    <row r="39" spans="1:5" ht="16" customHeight="1" x14ac:dyDescent="0.2">
      <c r="A39" s="115"/>
      <c r="B39" s="115"/>
      <c r="C39" s="126" t="s">
        <v>281</v>
      </c>
      <c r="D39" s="115"/>
    </row>
    <row r="40" spans="1:5" ht="16" customHeight="1" x14ac:dyDescent="0.2">
      <c r="A40" s="115"/>
      <c r="B40" s="115"/>
      <c r="C40" s="125" t="s">
        <v>283</v>
      </c>
      <c r="D40" s="123" t="s">
        <v>282</v>
      </c>
    </row>
    <row r="41" spans="1:5" ht="16" customHeight="1" x14ac:dyDescent="0.2">
      <c r="A41" s="122" t="s">
        <v>284</v>
      </c>
      <c r="B41" s="124" t="s">
        <v>285</v>
      </c>
      <c r="C41" s="124"/>
      <c r="D41" s="115"/>
    </row>
    <row r="42" spans="1:5" ht="16" customHeight="1" x14ac:dyDescent="0.2">
      <c r="A42" s="115"/>
      <c r="B42" s="115"/>
      <c r="C42" s="125" t="s">
        <v>287</v>
      </c>
      <c r="D42" s="123" t="s">
        <v>286</v>
      </c>
    </row>
    <row r="43" spans="1:5" ht="16" customHeight="1" x14ac:dyDescent="0.2">
      <c r="A43" s="122" t="s">
        <v>288</v>
      </c>
      <c r="B43" s="124" t="s">
        <v>289</v>
      </c>
      <c r="C43" s="124"/>
      <c r="D43" s="115"/>
    </row>
    <row r="44" spans="1:5" ht="16" customHeight="1" x14ac:dyDescent="0.2">
      <c r="A44" s="115"/>
      <c r="B44" s="115"/>
      <c r="C44" s="125" t="s">
        <v>291</v>
      </c>
      <c r="D44" s="123" t="s">
        <v>290</v>
      </c>
    </row>
    <row r="45" spans="1:5" ht="16" customHeight="1" x14ac:dyDescent="0.2">
      <c r="A45" s="115"/>
      <c r="B45" s="115"/>
      <c r="C45" s="125" t="s">
        <v>293</v>
      </c>
      <c r="D45" s="123" t="s">
        <v>292</v>
      </c>
    </row>
    <row r="46" spans="1:5" ht="16" customHeight="1" x14ac:dyDescent="0.2">
      <c r="A46" s="122" t="s">
        <v>294</v>
      </c>
      <c r="B46" s="124" t="s">
        <v>295</v>
      </c>
      <c r="C46" s="124"/>
      <c r="D46" s="115"/>
    </row>
    <row r="47" spans="1:5" ht="16" customHeight="1" x14ac:dyDescent="0.2">
      <c r="A47" s="115"/>
      <c r="B47" s="115"/>
      <c r="C47" s="125" t="s">
        <v>297</v>
      </c>
      <c r="D47" s="123" t="s">
        <v>296</v>
      </c>
    </row>
    <row r="48" spans="1:5" ht="16" customHeight="1" x14ac:dyDescent="0.2">
      <c r="A48" s="122" t="s">
        <v>298</v>
      </c>
      <c r="B48" s="124" t="s">
        <v>299</v>
      </c>
      <c r="C48" s="124"/>
      <c r="D48" s="115"/>
    </row>
    <row r="49" spans="1:5" ht="16" customHeight="1" x14ac:dyDescent="0.2">
      <c r="A49" s="115"/>
      <c r="B49" s="115"/>
      <c r="C49" s="125" t="s">
        <v>301</v>
      </c>
      <c r="D49" s="123" t="s">
        <v>300</v>
      </c>
    </row>
    <row r="50" spans="1:5" ht="16" customHeight="1" x14ac:dyDescent="0.2">
      <c r="A50" s="115"/>
      <c r="B50" s="115"/>
      <c r="C50" s="125" t="s">
        <v>303</v>
      </c>
      <c r="D50" s="123" t="s">
        <v>302</v>
      </c>
    </row>
    <row r="51" spans="1:5" ht="16" customHeight="1" x14ac:dyDescent="0.2">
      <c r="A51" s="122" t="s">
        <v>304</v>
      </c>
      <c r="B51" s="124" t="s">
        <v>305</v>
      </c>
      <c r="C51" s="124"/>
      <c r="D51" s="115"/>
    </row>
    <row r="52" spans="1:5" ht="16" customHeight="1" x14ac:dyDescent="0.2">
      <c r="A52" s="115"/>
      <c r="B52" s="115"/>
      <c r="C52" s="125" t="s">
        <v>307</v>
      </c>
      <c r="D52" s="123" t="s">
        <v>306</v>
      </c>
    </row>
  </sheetData>
  <mergeCells count="15">
    <mergeCell ref="B4:C4"/>
    <mergeCell ref="B5:C5"/>
    <mergeCell ref="A7:D7"/>
    <mergeCell ref="B8:C8"/>
    <mergeCell ref="B9:C9"/>
    <mergeCell ref="B17:C17"/>
    <mergeCell ref="B22:C22"/>
    <mergeCell ref="B29:C29"/>
    <mergeCell ref="B34:C34"/>
    <mergeCell ref="B37:C37"/>
    <mergeCell ref="B41:C41"/>
    <mergeCell ref="B43:C43"/>
    <mergeCell ref="B46:C46"/>
    <mergeCell ref="B48:C48"/>
    <mergeCell ref="B51:C51"/>
  </mergeCells>
  <pageMargins left="0.5" right="0.5" top="0.5" bottom="0.5" header="0" footer="0"/>
  <ignoredErrors>
    <ignoredError sqref="A8" numberStoredAsText="1"/>
    <ignoredError sqref="A9" numberStoredAsText="1"/>
    <ignoredError sqref="A17" numberStoredAsText="1"/>
    <ignoredError sqref="A22" numberStoredAsText="1"/>
    <ignoredError sqref="A29" numberStoredAsText="1"/>
    <ignoredError sqref="A34" numberStoredAsText="1"/>
    <ignoredError sqref="A37" numberStoredAsText="1"/>
    <ignoredError sqref="A41" numberStoredAsText="1"/>
    <ignoredError sqref="A43" numberStoredAsText="1"/>
    <ignoredError sqref="A46" numberStoredAsText="1"/>
    <ignoredError sqref="A48" numberStoredAsText="1"/>
    <ignoredError sqref="A51" numberStoredAsText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radingEngineProps xmlns="http://tempuri.org/temp">
  <UserID>{a5338ed7-b54d-4d25-ba7f-a8c51be90444}</UserID>
  <AssignmentID>{a5338ed7-b54d-4d25-ba7f-a8c51be90444}</AssignmentID>
</GradingEngineProps>
</file>

<file path=customXml/itemProps1.xml><?xml version="1.0" encoding="utf-8"?>
<ds:datastoreItem xmlns:ds="http://schemas.openxmlformats.org/officeDocument/2006/customXml" ds:itemID="{104FFEAB-93D2-45E4-8A25-4832EA67DC0F}">
  <ds:schemaRefs>
    <ds:schemaRef ds:uri="http://tempuri.org/tem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Documentation</vt:lpstr>
      <vt:lpstr>Startup</vt:lpstr>
      <vt:lpstr>Income Statement</vt:lpstr>
      <vt:lpstr>Balance Sheet</vt:lpstr>
      <vt:lpstr>Cash Flow</vt:lpstr>
      <vt:lpstr>Loan Analysis</vt:lpstr>
      <vt:lpstr>Loan Schedule</vt:lpstr>
      <vt:lpstr>Depreciation</vt:lpstr>
      <vt:lpstr>Investment Analysis</vt:lpstr>
      <vt:lpstr>Terms and Defintions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keywords>© 2025 Cengage Learning.</cp:keywords>
  <dcterms:created xsi:type="dcterms:W3CDTF">2015-11-12T22:55:14Z</dcterms:created>
  <dcterms:modified xsi:type="dcterms:W3CDTF">2024-09-20T07:30:03Z</dcterms:modified>
</cp:coreProperties>
</file>